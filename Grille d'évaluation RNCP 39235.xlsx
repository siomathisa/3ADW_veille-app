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 candidat" sheetId="1" r:id="rId4"/>
    <sheet state="visible" name="ME1.1" sheetId="2" r:id="rId5"/>
    <sheet state="visible" name="ME1.2" sheetId="3" r:id="rId6"/>
    <sheet state="visible" name="ME1.3" sheetId="4" r:id="rId7"/>
    <sheet state="visible" name="Récap bloc 1" sheetId="5" r:id="rId8"/>
    <sheet state="visible" name="ME2.1" sheetId="6" r:id="rId9"/>
    <sheet state="visible" name="Récap bloc 2" sheetId="7" r:id="rId10"/>
    <sheet state="visible" name="ME3.1" sheetId="8" r:id="rId11"/>
    <sheet state="visible" name="ME3.2" sheetId="9" r:id="rId12"/>
    <sheet state="visible" name="Récap bloc 3" sheetId="10" r:id="rId13"/>
    <sheet state="visible" name="ME4.1" sheetId="11" r:id="rId14"/>
    <sheet state="visible" name="ME4.2" sheetId="12" r:id="rId15"/>
    <sheet state="visible" name="Récap bloc 4" sheetId="13" r:id="rId16"/>
    <sheet state="visible" name="ME5.1" sheetId="14" r:id="rId17"/>
    <sheet state="visible" name="ME5.2" sheetId="15" r:id="rId18"/>
    <sheet state="visible" name="Récap bloc 5" sheetId="16" r:id="rId19"/>
    <sheet state="visible" name="Récap global" sheetId="17" r:id="rId20"/>
    <sheet state="visible" name="Validation du titre" sheetId="18" r:id="rId21"/>
  </sheets>
  <definedNames>
    <definedName name="ME4.1_OUI">ME4.1!$H$29</definedName>
    <definedName name="ME2.4_OUI">#REF!</definedName>
    <definedName name="ME1.1_OUI">ME1.1!$H$24</definedName>
    <definedName name="ME1.2_NON">ME1.2!$H$21</definedName>
    <definedName name="ME5.2_NON">ME5.2!$H$20</definedName>
    <definedName name="NOMPRENOM">'Infos candidat'!$B$3</definedName>
    <definedName localSheetId="15" name="Acquisition_BC4_oui">'Récap bloc 5'!$C$23</definedName>
    <definedName name="ME4.3_NON">#REF!</definedName>
    <definedName name="Nom_et_prénom_du_candidat">'Récap bloc 2'!$B$4</definedName>
    <definedName name="ME5.1_NON">ME5.1!$H$20</definedName>
    <definedName name="ME1.1_NON">ME1.1!$H$25</definedName>
    <definedName name="ME1.2_OUI">ME1.2!$H$20</definedName>
    <definedName name="Acquisition_BC3_oui">'Récap bloc 3'!$C$24</definedName>
    <definedName name="ME2.4_NON">#REF!</definedName>
    <definedName name="ME1.3_NON">ME1.3!$H$14</definedName>
    <definedName name="ME2.2_OUI">#REF!</definedName>
    <definedName name="ME1.4_NON">#REF!</definedName>
    <definedName localSheetId="14" name="ME4.3_OUI">ME5.2!$H$19</definedName>
    <definedName name="Acquisition_bc2_non">'Récap bloc 2'!$C$24</definedName>
    <definedName name="ME1.3_OUI">ME1.3!$H$13</definedName>
    <definedName name="Acquisition_BC4_oui">'Récap bloc 4'!$C$23</definedName>
    <definedName localSheetId="14" name="ME4.3_NON">ME5.2!$H$20</definedName>
    <definedName name="Acquisition_bc2_oui">'Récap bloc 2'!$C$23</definedName>
    <definedName name="ME3.4_OUI">#REF!</definedName>
    <definedName name="Acquisition_BC5_oui">'Récap bloc 5'!$C$23</definedName>
    <definedName name="Acquisition_BC5_non">'Récap bloc 5'!$C$24</definedName>
    <definedName name="ME1.4_OUI">#REF!</definedName>
    <definedName localSheetId="13" name="ME4.3_OUI">ME5.1!$H$19</definedName>
    <definedName name="ME2.1_OUI">ME2.1!$H$31</definedName>
    <definedName name="ME3.1_OUI">ME3.1!$H$23</definedName>
    <definedName name="ME3.4_NON">#REF!</definedName>
    <definedName name="ME5.2_OUI">ME5.2!$H$19</definedName>
    <definedName name="ME3.3_NON">#REF!</definedName>
    <definedName name="ME3.3_OUI">#REF!</definedName>
    <definedName name="ME4.4_NON">#REF!</definedName>
    <definedName name="ME3.2_OUI">ME3.2!$H$21</definedName>
    <definedName name="ME4.2_OUI">ME4.2!$H$13</definedName>
    <definedName name="ME4.2_NON">ME4.2!$H$14</definedName>
    <definedName name="ME2.3_NON">#REF!</definedName>
    <definedName name="ME4.3_OUI">#REF!</definedName>
    <definedName name="ME3.2_NON">ME3.2!$H$22</definedName>
    <definedName name="ME2.3_OUI">#REF!</definedName>
    <definedName name="Acquisition_BC3_non">'Récap bloc 3'!$C$25</definedName>
    <definedName name="ME3.1_NON">ME3.1!$H$24</definedName>
    <definedName localSheetId="13" name="ME4.3_NON">ME5.1!$H$20</definedName>
    <definedName name="Acquisition_BC4_non">'Récap bloc 4'!$C$24</definedName>
    <definedName name="ME5.1_OUI">ME5.1!$H$19</definedName>
    <definedName localSheetId="15" name="Acquisition_BC4_non">'Récap bloc 5'!$C$24</definedName>
    <definedName name="ME2.1_NON">ME2.1!$H$32</definedName>
    <definedName name="ME4.4_OUI">#REF!</definedName>
    <definedName name="Acquisition_non_1">'Récap bloc 1'!$C$26</definedName>
    <definedName name="ME4.1_NON">ME4.1!$H$30</definedName>
    <definedName name="ME2.2_NON">#REF!</definedName>
    <definedName name="Acquisition_oui_1">'Récap bloc 1'!$C$25</definedName>
  </definedNames>
  <calcPr/>
  <extLst>
    <ext uri="GoogleSheetsCustomDataVersion2">
      <go:sheetsCustomData xmlns:go="http://customooxmlschemas.google.com/" r:id="rId22" roundtripDataChecksum="M0lLJwfCTPT0X34DQdv1DbpG0oOPzCELXlwTgMMpcQ4="/>
    </ext>
  </extLst>
</workbook>
</file>

<file path=xl/sharedStrings.xml><?xml version="1.0" encoding="utf-8"?>
<sst xmlns="http://schemas.openxmlformats.org/spreadsheetml/2006/main" count="421" uniqueCount="177">
  <si>
    <t>Fiche du candidat</t>
  </si>
  <si>
    <t xml:space="preserve">Nom et prénom du candidat </t>
  </si>
  <si>
    <t>RNCP39235 - Chef de projet digital</t>
  </si>
  <si>
    <t xml:space="preserve">BLOC 1 - Formalisation du cahier des charges du projet digital
Etude de cas donnant lieu à une note de synthèse
</t>
  </si>
  <si>
    <t>Nom et prénom de(s) évaluateur(s)</t>
  </si>
  <si>
    <t>Nom et prénom du candidat</t>
  </si>
  <si>
    <t>Nom, prénom &amp; fonction du responsable de l'organisation de l'évaluation</t>
  </si>
  <si>
    <t>Compétences</t>
  </si>
  <si>
    <t xml:space="preserve">Critères 
</t>
  </si>
  <si>
    <t>Degré de satisfaction du critère</t>
  </si>
  <si>
    <t>Acquisition de la compétence</t>
  </si>
  <si>
    <t>Au delà du niveau attendu</t>
  </si>
  <si>
    <t>Satisfait au critère</t>
  </si>
  <si>
    <t>Ne satisfait pas au critère</t>
  </si>
  <si>
    <t>Acquis</t>
  </si>
  <si>
    <t>Non acquis</t>
  </si>
  <si>
    <t>Non mobilisé</t>
  </si>
  <si>
    <t>Situer le projet digital dans le schéma général des processus de l'entreprise, en tranduisant en termes opérationnels les principaux axes stratégiques et de celle-ci, en vue de définir le périmètre du projet à développer</t>
  </si>
  <si>
    <t>Le candidat démontre sa capacité à comprendre et interpréter la stratégie de l'entreprise.</t>
  </si>
  <si>
    <t>Il évalue justement l'importance et le périmètre du projet à concevoir.</t>
  </si>
  <si>
    <t>Ses analyses sont réalistes et correctement justifiées selon des critères méthodologiques adaptés.</t>
  </si>
  <si>
    <t>Préciser le projet à réaliser en interaction les parties prenantes, en prenant en compte leurs objectifs, leurs contraintes et le budget disponible, en vue d'établir une liste exhaustive des attentes et facteurs-clés de succès</t>
  </si>
  <si>
    <t>La méthodologie d'analyse est explicite et cohérente.</t>
  </si>
  <si>
    <t>Un canevas d'entretien est présenté et complet.</t>
  </si>
  <si>
    <t>Les attentes et facteurs-clés de succès sont identifiés.</t>
  </si>
  <si>
    <t>Identifier les opportunités d'innovation au cours de réunion de créativité, en utilisant les méthodes de l'intelligence collective et en accord avec la stratégie de l'entreprise, afin d'enrichir le projet à conduire</t>
  </si>
  <si>
    <t>La méthodologie de créativité est explicite et cohérente.</t>
  </si>
  <si>
    <t>La conduite de réunion est maîtrisée.</t>
  </si>
  <si>
    <t>Les opportunités stratégiques sont identifiées et justifiée.</t>
  </si>
  <si>
    <t>Mener des investigations complémentaires en analysant la concurrence et les projets réalisés antérieurement dans l'entreprise, afin de préciser le périmètre et les objectifs du projet à conduire.</t>
  </si>
  <si>
    <t>La méthodologie de recherche est explicite et cohérente.</t>
  </si>
  <si>
    <t>Les retours d'expérience sont analysés.</t>
  </si>
  <si>
    <t>L'analyse de la concurrence est pertinente.</t>
  </si>
  <si>
    <t>Maitrise des compétences</t>
  </si>
  <si>
    <t>Oui</t>
  </si>
  <si>
    <t>Non</t>
  </si>
  <si>
    <t>Commentaires</t>
  </si>
  <si>
    <r>
      <rPr>
        <rFont val="Causten Light"/>
        <b/>
        <color rgb="FF000000"/>
        <sz val="14.0"/>
      </rPr>
      <t xml:space="preserve">BLOC 1 - Formalisation du cahier des charges du projet digital
Mise en situation professionnelle durant le stage
</t>
    </r>
    <r>
      <rPr>
        <rFont val="Causten Light"/>
        <b val="0"/>
        <color rgb="FF000000"/>
        <sz val="14.0"/>
      </rPr>
      <t>Compte-rendu écrit intégré au rapport de stage</t>
    </r>
  </si>
  <si>
    <t>Spécifier techniquement l'ensemble des attentes des parties prenantes internes ou du client, en justifiant les choix opérés, en vue de mettre au point le cahier des charges du projet</t>
  </si>
  <si>
    <t>Les attentes du client et des utilisateurs sont bien prises en compte.</t>
  </si>
  <si>
    <t>Les justifications des choix opérés sont pertinentes.</t>
  </si>
  <si>
    <t>Les spécifications techniques sont correctes.</t>
  </si>
  <si>
    <t>En tenant compte du budget alloué, finaliser le cahier des charges du projet en spécifiant les étapes de réalisation et en précisant les contraintes à respecter en termes de qualité, de coûts et de délais</t>
  </si>
  <si>
    <t>Les étapes du projet sont détaillées et ordonnées.</t>
  </si>
  <si>
    <t>Les contraintes de qualité et de de délais sont prises en compte.</t>
  </si>
  <si>
    <t>Le budget est respecté.</t>
  </si>
  <si>
    <t>La formalisation est correcte.</t>
  </si>
  <si>
    <t>Le candidat a démontré sa capacité à finaliser le cahier des charges en bonne intelligence avec le client / les utilisateurs.</t>
  </si>
  <si>
    <t>BLOC 1 - Formalisation du cahier des charges du projet digital
Questionnaire sur le WCAG 2.0</t>
  </si>
  <si>
    <t>Intégrer les principes du WCAG 2.0, niveau AA afin de viser l'inclusion numérique des projets développés</t>
  </si>
  <si>
    <t>70% de bonnes réponses au questionnaire</t>
  </si>
  <si>
    <t>BLOC 1 - Formalisation du cahier des charges du projet digital</t>
  </si>
  <si>
    <t>Validé</t>
  </si>
  <si>
    <t>Non validé</t>
  </si>
  <si>
    <t>ME1.1</t>
  </si>
  <si>
    <t>ME1.2</t>
  </si>
  <si>
    <t>ME1.3</t>
  </si>
  <si>
    <t>Commentaires du jury d'évaluation</t>
  </si>
  <si>
    <t xml:space="preserve">Zone à compléter par le certificateur </t>
  </si>
  <si>
    <t>Nom et prénom du président du jury</t>
  </si>
  <si>
    <t>Acquisition du bloc de compétences 1</t>
  </si>
  <si>
    <t>Observations particulières</t>
  </si>
  <si>
    <t>Signatures</t>
  </si>
  <si>
    <r>
      <rPr>
        <rFont val="Causten Light"/>
        <b/>
        <color rgb="FF000000"/>
        <sz val="14.0"/>
      </rPr>
      <t xml:space="preserve">BLOC 2 - Management opérationnel du projet digital
Mise en situation professionnelle à l'occasion du stage
Le candidat à la certification prépare un projet digital et présente au jury :
</t>
    </r>
    <r>
      <rPr>
        <rFont val="Causten Light"/>
        <b val="0"/>
        <color rgb="FF000000"/>
        <sz val="14.0"/>
      </rPr>
      <t xml:space="preserve">1/ Une note d'évaluation des risques
2/ Les documents de validation des états d'avancement
</t>
    </r>
  </si>
  <si>
    <t>Degré de satisfaction du criètre</t>
  </si>
  <si>
    <t>Evaluer les risques du projet sur la durée de son cycle de vie, en vue d'anticiper sur les difficultés potentielles en termes de ressources humaines, techniques et financières.</t>
  </si>
  <si>
    <t>Les étapes du cycle de vie du projet sont détaillées.</t>
  </si>
  <si>
    <t>Les risques techniques et financiers sont identifiés.</t>
  </si>
  <si>
    <t>Les besoins en compétences sont analysés.</t>
  </si>
  <si>
    <t>Le candidat démontre son aptitude à anticiper sur les difficultés de développement.</t>
  </si>
  <si>
    <t>En fonction des budgets et délais à respecter, organiser les différentes étapes du travail à mener, en définissant les moyens humains à mobiliser pour chacune d'elles.</t>
  </si>
  <si>
    <t>Les étapes du développement sont correctement séquencées.</t>
  </si>
  <si>
    <t>Le calendrier de développement est cohérent.</t>
  </si>
  <si>
    <t>Les contraintes budgétaires sont prises en compte.</t>
  </si>
  <si>
    <t>Les ressources humaines nécessaires sont identifiées.</t>
  </si>
  <si>
    <t>Conduire des appels d'offres selon une méthodologie rigoureuse, en vue de collecter les propositions les mieux à même de répondre aux besoins externes de la mise en oeuvre</t>
  </si>
  <si>
    <t>La méthodologie de préparation et de lancement d'un appel d'offres est maîtrisée.</t>
  </si>
  <si>
    <t>Les cibles de l'appel d'offres sont identifiées.</t>
  </si>
  <si>
    <t>L'appel d'offres est conforme au cahier des charges.</t>
  </si>
  <si>
    <t>Les documents d'appel d'offres sont correctements rédigés.</t>
  </si>
  <si>
    <t>Analyser les propositions des prestataires externes sur les plans techniques et financiers, en vue d'opérer une sélection conforme aux règles de l'appel d'offres et au cahier des charges du projet</t>
  </si>
  <si>
    <t>La méthode d'analyse des propositions est constante.</t>
  </si>
  <si>
    <t>La solidité technique et financière des proposants est analysée.</t>
  </si>
  <si>
    <t>Le choix des prestataires est conformes aux règles de l'appel d'offres.</t>
  </si>
  <si>
    <t>Formaliser la validation intermédiaire des productions réalisées, selon une méthodologie constante, afin de garantir la robustesse du résultat final et son adéquation au cahier des charges</t>
  </si>
  <si>
    <t>La méthodologie de validation est constante.</t>
  </si>
  <si>
    <t>Les procédures de validation sont établies.</t>
  </si>
  <si>
    <t>Les documents de validation sont conformes.</t>
  </si>
  <si>
    <t>La présentation orale au jury est claire et les réponses aux questions du jury sont pertinentes.</t>
  </si>
  <si>
    <t>BLOC 2 - Management opérationnel du projet digital</t>
  </si>
  <si>
    <t>BLOC 2 -  Management opérationnel du projet digital</t>
  </si>
  <si>
    <t>ME2.1</t>
  </si>
  <si>
    <t>Acquisition du bloc de compétences 2</t>
  </si>
  <si>
    <r>
      <rPr>
        <rFont val="Causten Light"/>
        <b/>
        <color rgb="FF000000"/>
        <sz val="14.0"/>
      </rPr>
      <t xml:space="preserve">BLOC 3 - Management des équipes de développement
ME3.1 - Etude de cas
</t>
    </r>
    <r>
      <rPr>
        <rFont val="Causten Light"/>
        <b val="0"/>
        <color rgb="FF000000"/>
        <sz val="14.0"/>
      </rPr>
      <t>Note de synthèse écrite remise au jury</t>
    </r>
  </si>
  <si>
    <t>A partir de la planification établie et de l'évaluation du travail à accomplir, définir le rôle de chaque collaborateur en spécifiant les consignes, le niveau de qualité et les objectifs à atteindre, afin d'assurer une allocation rationnelle des ressources humaines</t>
  </si>
  <si>
    <t>L'évaluation des tâches est correcte et justifiée.</t>
  </si>
  <si>
    <t>La répartition des tâches est cohérente et conforme au cahier des charges.</t>
  </si>
  <si>
    <t>Les consignes sont précisément spécifiées.</t>
  </si>
  <si>
    <t>Les objectifs à atteindre en termes fonctionnels sont explicites.</t>
  </si>
  <si>
    <t>Prendre en compte le référentiel général d'amélioration de l'accessibilité (RGAA) et les recommandations de la norme internationale WCAG 2.1 (Web Content Accessibility Guidelines) à un niveau aaa, dans le but d'adapter les conditions de réalisation aux nécessités des personnes handicapées</t>
  </si>
  <si>
    <t>La mise en oeuvre du RGAA et des recommandations WCAG est conforme aux situations de travail étudiées.</t>
  </si>
  <si>
    <t>La configuration des interfaces numériques est adaptée aux situations de handicap.</t>
  </si>
  <si>
    <t>Le candidat a veillé par le dialogue et ses actions concrètes à la bonne intégration des personnes en situation de handicap au sein de son équipe.</t>
  </si>
  <si>
    <t>Formaliser des documents de travail complets, en apportant un niveau d'information suffisant pour guider les développeurs dans le travail attendu, afin de faciliter leur travail d'un point de vue créatif</t>
  </si>
  <si>
    <t>La formalisation des documents de travail est correcte.</t>
  </si>
  <si>
    <t>Le niveau d'information est adapté aux tâches à réaliser.</t>
  </si>
  <si>
    <t>L'ensemble est en adéquation avec le cas traité.</t>
  </si>
  <si>
    <t>La rédaction est précise sur les plans techniques et créatifs.</t>
  </si>
  <si>
    <t xml:space="preserve">BLOC 3 - Management des équipes de développement
ME3.2 - Mise en situation professionnelle durant le stage
</t>
  </si>
  <si>
    <t xml:space="preserve">Transmettre aux développeurs les documents et outils adéquats nécessaires à la réalisation du travail et à l'atteinte des objectifs, en vue d'optimiser le temps de travail de ses équipes
</t>
  </si>
  <si>
    <t>La présentation des documents est complète et circonstanciée.
Les objectifs sont clairement exposés.
La gestion du temps est optimisée.
Les écarts par rapport au cahier des charges sont identifiés.
Le candidat démontre sa capacité à accompagner les développeurs dans un climat de confiance</t>
  </si>
  <si>
    <t>Superviser l'ensemble de la production en effectuant un suivi régulier et en animant des réunions de suivi, en vue d'alerter l'équipe en cas de dysfonctionnements et d'écarts par rapport au cahier des charges.</t>
  </si>
  <si>
    <t>Mettre en oeuvre une méthodologie de résolution des difficultés techniques et relationnelles, en vue de garantir la fluidité du processus de production et la qualité du résultat final</t>
  </si>
  <si>
    <t>La situation étudiée est décrite et analysée.</t>
  </si>
  <si>
    <t>La méthodologie de résolution est cohérente.</t>
  </si>
  <si>
    <t>Le candidat démontre sa capacité à proposer des solutions pertinentes.</t>
  </si>
  <si>
    <t>Le candidat justifie son action par l'analyse des résultats.</t>
  </si>
  <si>
    <t>BLOC 3 - Management des équipes de développement</t>
  </si>
  <si>
    <t>ME3.1</t>
  </si>
  <si>
    <t>ME3.2</t>
  </si>
  <si>
    <t>Acquisition du bloc de compétences 3</t>
  </si>
  <si>
    <t>RNCP39635 - Chef de projet digital</t>
  </si>
  <si>
    <r>
      <rPr>
        <rFont val="Causten Light"/>
        <b/>
        <color rgb="FF000000"/>
        <sz val="14.0"/>
      </rPr>
      <t xml:space="preserve">BLOC 4 - Gestion de la relation-client du projet digital
ME4.1 - Mise en situation professionnelle
</t>
    </r>
    <r>
      <rPr>
        <rFont val="Causten Light"/>
        <b val="0"/>
        <color rgb="FF000000"/>
        <sz val="14.0"/>
      </rPr>
      <t>Le candidat à la certification conduit un projet digital pour lequel :
1/ il présente les états intermédiaires lors des réunions avec les clients/utilisateurs
2/ il collecte les nouvelles demandes, conçoit et négocie avec les utilisateurs ou le client les améliorations à apporter.</t>
    </r>
  </si>
  <si>
    <t>Planifier les réunions-client aux moments-clés du projet, en vue d'assurer un échange d'information régulier avec les équipes des futurs utilisateurs.</t>
  </si>
  <si>
    <t>Les utilisateurs concernés sont identifiés.</t>
  </si>
  <si>
    <t>Le calendrier des réunions est cohérent.</t>
  </si>
  <si>
    <t>Les objectifs des réunions sont clairement définis.</t>
  </si>
  <si>
    <t>Présenter au client/aux utilisateurs les étapes intermédiaires de la réalisation, à l'aide d'outils méthodologiques et d'interfaces dédiées, dans le but de mettre en évidence et d'expliquer les partis-pris choisis</t>
  </si>
  <si>
    <t>La présentation des étapes intermédiaires correspond à une méthodologie constante.</t>
  </si>
  <si>
    <t>Les partis-pris de réalisation sont clairement exposés.</t>
  </si>
  <si>
    <t>Le candidat démontre sa capacité à convaincre.</t>
  </si>
  <si>
    <t>Animer des réunions de suivi de projet avec les équipes d'utilisateurs, afin de valider les productions réalisées</t>
  </si>
  <si>
    <t>Le rythme des réunions est justifié.</t>
  </si>
  <si>
    <t>Le processus de validation est défini et constant.</t>
  </si>
  <si>
    <t>Le candidat démontre son aptitude à l'écoute et à créer les conditions d'une coopération efficace avec les utilisateurs.</t>
  </si>
  <si>
    <t>A la suite des réunions de suivi de projet avec les équipes d'utilisateurs, spécifier les nouvelles demandes en vue de négocier les modifications  à apporter au projet</t>
  </si>
  <si>
    <t>La méthodologie d'analyse des nouvelles demandes est cohérente.</t>
  </si>
  <si>
    <t>Les écarts par rapport au cahier des charges sont mesurés.</t>
  </si>
  <si>
    <t>Au regard des nouvelles demandes du client, négocier les modifications à apporter, dans le but d'intégrer celles-ci au cahier des charges tout en préservant la cohérence du projet.</t>
  </si>
  <si>
    <t>Les propositions du candidat sont argumentées.</t>
  </si>
  <si>
    <t>Le candidat démontre sa capacité d'écoute et de négociation.</t>
  </si>
  <si>
    <t>Les améliorations sont validées selon les processus définis.</t>
  </si>
  <si>
    <t>L'intégration des améliorations au cahier des charges est correcte.</t>
  </si>
  <si>
    <t xml:space="preserve">BLOC 4 - Gestion de la relation-client du projet digital
ME4.2 - Questionnaire sur le RGPD
</t>
  </si>
  <si>
    <t>Prendre en compte les règles du RGPD afin d'assurer la protection des données-client</t>
  </si>
  <si>
    <t>BLOC 4 - Gestion de la relation-client du projet digital</t>
  </si>
  <si>
    <t>ME4.1</t>
  </si>
  <si>
    <t>ME4.2</t>
  </si>
  <si>
    <t>Nom et président du jury</t>
  </si>
  <si>
    <t>Acquisition du bloc de compétences 4</t>
  </si>
  <si>
    <r>
      <rPr>
        <rFont val="Causten Light"/>
        <b/>
        <color rgb="FF000000"/>
        <sz val="14.0"/>
      </rPr>
      <t xml:space="preserve">BLOC 5 - Veille concurrentielle et technologique
ME5.1 - Etude de cas
</t>
    </r>
    <r>
      <rPr>
        <rFont val="Causten Light"/>
        <b val="0"/>
        <color rgb="FF000000"/>
        <sz val="14.0"/>
      </rPr>
      <t>Note de synthèse écrite remise au jury</t>
    </r>
  </si>
  <si>
    <t>Sélectionner différents médias et canaux d'information, en prenant en compte les recommandations du CIGREF, en vue d'organiser un système de veille permettant d'actualiser ses connaissances liées à la concurrence, aux marchés et aux évolutions technologiques dans le domaine digital</t>
  </si>
  <si>
    <t>Les sources d'information choisies sont pertinentes.</t>
  </si>
  <si>
    <t>Les recommandations du CIGREF sont connues et prises en compte.</t>
  </si>
  <si>
    <t>Les outils de consultation sont en place.</t>
  </si>
  <si>
    <t>Le dispositif de veille est correctement structuré.</t>
  </si>
  <si>
    <t>Observer et analyser l'évolution de la gestion de projet digital, grâce à la presse spécialisée, aux ouvrages professionnels et aux différentes sources d'information identifiées, en vue d'intégrer les meilleures pratiques à sa démarche de chef de projet.</t>
  </si>
  <si>
    <t>Les références des sources d'information utilisées sont données.</t>
  </si>
  <si>
    <t>L'actualité des bonnes pratiques en matière de gestion de projet digital est analysée.</t>
  </si>
  <si>
    <t>Le candidat explique comment il intègre celles-ci à son action.</t>
  </si>
  <si>
    <r>
      <rPr>
        <rFont val="Causten Light"/>
        <b/>
        <color rgb="FF000000"/>
        <sz val="14.0"/>
      </rPr>
      <t xml:space="preserve">BLOC 5 - Veille concurrentielle et technologique
ME5.2 - Mise en situation professionnelle durant le stage
</t>
    </r>
    <r>
      <rPr>
        <rFont val="Causten Light"/>
        <b val="0"/>
        <color rgb="FF000000"/>
        <sz val="14.0"/>
      </rPr>
      <t>Compte-rendu écrit intégré au rapport de stage</t>
    </r>
  </si>
  <si>
    <t>Participer aux manifestations professionnelles dans le but de compléter son information, d'intensifier les échanges de bonnes pratiques et d'entretenir un réseau de personnes ressources en matière de gestion de projet digital</t>
  </si>
  <si>
    <t>Le candidat justifie sa participation à des manifestations choisies.</t>
  </si>
  <si>
    <t>Son compte-rendu des observations est riche et pertinent.</t>
  </si>
  <si>
    <t>Ses modes de communication sont adaptés à l'entretien efficace d'un réseau professionnel.</t>
  </si>
  <si>
    <t>Contribuer à la réflexion stratégique en interne ou après de ses clients, en s'appuyant sur sa pratique de chef de projet digital, afin de faciliter la transformation numérique des processus d'entreprise</t>
  </si>
  <si>
    <t>Le candidat démontre sa capacité à traduire la stratégie de son entreprise ou de son client dans sa gestion de projets digitaux.</t>
  </si>
  <si>
    <t>Le candidat démontre son aptitude à proposer des innovations par le numérique dans les processus de son entreprise ou de son client.</t>
  </si>
  <si>
    <t>Mettre en oeuvre les méthodes du conseil auprès de ses clients / utilisateurs, afin de les accompagner dans la transformation digitale et d'optimiser l'efficacité des projets développés</t>
  </si>
  <si>
    <t>Le candidat a intégré la dimension conseil à sa pratique de chef de projet.</t>
  </si>
  <si>
    <t>Les exemples démontrés dans son compte-rendu sont pertinents.</t>
  </si>
  <si>
    <t>BLOC 5 - Veille concurrentielle et technologique</t>
  </si>
  <si>
    <t>ME5.1</t>
  </si>
  <si>
    <t>ME5.2</t>
  </si>
  <si>
    <t>Nom et prénom des membres du jury</t>
  </si>
  <si>
    <t>Blocs de compétences</t>
  </si>
  <si>
    <t>BLOC 1 -  Formalisation du cahier des charges du projet digital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</si>
</sst>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x"/>
  </numFmts>
  <fonts count="14">
    <font>
      <sz val="11.0"/>
      <color theme="1"/>
      <name val="Calibri"/>
      <scheme val="minor"/>
    </font>
    <font>
      <b/>
      <sz val="11.0"/>
      <color theme="1"/>
      <name val="Causten Light"/>
    </font>
    <font/>
    <font>
      <sz val="11.0"/>
      <color theme="1"/>
      <name val="Causten Light"/>
    </font>
    <font>
      <b/>
      <sz val="12.0"/>
      <color theme="1"/>
      <name val="Causten Light"/>
    </font>
    <font>
      <b/>
      <sz val="22.0"/>
      <color rgb="FF1E4E79"/>
      <name val="Causten Light"/>
    </font>
    <font>
      <b/>
      <sz val="14.0"/>
      <color rgb="FF000000"/>
      <name val="Causten Light"/>
    </font>
    <font>
      <b/>
      <sz val="18.0"/>
      <color theme="1"/>
      <name val="Causten Light"/>
    </font>
    <font>
      <sz val="12.0"/>
      <color theme="1"/>
      <name val="Causten Light"/>
    </font>
    <font>
      <b/>
      <sz val="14.0"/>
      <color theme="1"/>
      <name val="Causten Light"/>
    </font>
    <font>
      <b/>
      <sz val="12.0"/>
      <color rgb="FFFF0000"/>
      <name val="Causten Light"/>
    </font>
    <font>
      <sz val="18.0"/>
      <color theme="1"/>
      <name val="Causten Light"/>
    </font>
    <font>
      <b/>
      <sz val="12.0"/>
      <color rgb="FF000000"/>
      <name val="Causten Light"/>
    </font>
    <font>
      <sz val="12.0"/>
      <color rgb="FF000000"/>
      <name val="Causten Light"/>
    </font>
  </fonts>
  <fills count="3">
    <fill>
      <patternFill patternType="none"/>
    </fill>
    <fill>
      <patternFill patternType="lightGray"/>
    </fill>
    <fill>
      <patternFill patternType="solid">
        <fgColor theme="0"/>
        <bgColor theme="0"/>
      </patternFill>
    </fill>
  </fills>
  <borders count="2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top style="thin">
        <color rgb="FF000000"/>
      </top>
    </border>
    <border>
      <left style="thin">
        <color rgb="FF000000"/>
      </left>
    </border>
    <border>
      <right style="thin">
        <color rgb="FF000000"/>
      </right>
    </border>
    <border>
      <bottom style="thin">
        <color rgb="FF000000"/>
      </bottom>
    </border>
    <border>
      <left style="thin">
        <color rgb="FF000000"/>
      </left>
      <right/>
      <top style="thin">
        <color rgb="FF000000"/>
      </top>
      <bottom style="thin">
        <color rgb="FF000000"/>
      </bottom>
    </border>
    <border>
      <left style="thin">
        <color rgb="FF000000"/>
      </left>
      <top/>
    </border>
    <border>
      <top/>
    </border>
    <border>
      <right style="thin">
        <color rgb="FF000000"/>
      </right>
      <top/>
    </border>
    <border>
      <left style="thin">
        <color rgb="FF000000"/>
      </left>
      <right style="thin">
        <color rgb="FF000000"/>
      </right>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2" fontId="3" numFmtId="0" xfId="0" applyBorder="1" applyFont="1"/>
    <xf borderId="4" fillId="2" fontId="3" numFmtId="0" xfId="0" applyAlignment="1" applyBorder="1" applyFont="1">
      <alignment vertical="center"/>
    </xf>
    <xf borderId="4" fillId="2" fontId="4" numFmtId="0" xfId="0" applyAlignment="1" applyBorder="1" applyFont="1">
      <alignment vertical="center"/>
    </xf>
    <xf borderId="5" fillId="2" fontId="5" numFmtId="0" xfId="0" applyAlignment="1" applyBorder="1" applyFont="1">
      <alignment horizontal="center" shrinkToFit="0" vertical="center" wrapText="1"/>
    </xf>
    <xf borderId="6" fillId="0" fontId="2" numFmtId="0" xfId="0" applyBorder="1" applyFont="1"/>
    <xf borderId="7" fillId="0" fontId="2" numFmtId="0" xfId="0" applyBorder="1" applyFont="1"/>
    <xf borderId="3" fillId="2" fontId="5" numFmtId="0" xfId="0" applyAlignment="1" applyBorder="1" applyFont="1">
      <alignment shrinkToFit="0" vertical="center" wrapText="1"/>
    </xf>
    <xf borderId="0" fillId="0" fontId="6" numFmtId="0" xfId="0" applyAlignment="1" applyFont="1">
      <alignment horizontal="center" shrinkToFit="0" vertical="center" wrapText="1"/>
    </xf>
    <xf borderId="3" fillId="2" fontId="7" numFmtId="0" xfId="0" applyAlignment="1" applyBorder="1" applyFont="1">
      <alignment shrinkToFit="0" vertical="center" wrapText="1"/>
    </xf>
    <xf borderId="3" fillId="2" fontId="8" numFmtId="0" xfId="0" applyBorder="1" applyFont="1"/>
    <xf borderId="4" fillId="2" fontId="8" numFmtId="0" xfId="0" applyAlignment="1" applyBorder="1" applyFont="1">
      <alignment shrinkToFit="0" vertical="center" wrapText="1"/>
    </xf>
    <xf borderId="3" fillId="2" fontId="4" numFmtId="0" xfId="0" applyBorder="1" applyFont="1"/>
    <xf borderId="3" fillId="2" fontId="8" numFmtId="0" xfId="0" applyAlignment="1" applyBorder="1" applyFont="1">
      <alignment horizontal="center"/>
    </xf>
    <xf borderId="3" fillId="2" fontId="8" numFmtId="0" xfId="0" applyAlignment="1" applyBorder="1" applyFont="1">
      <alignment shrinkToFit="0" vertical="center" wrapText="1"/>
    </xf>
    <xf borderId="3" fillId="2" fontId="8" numFmtId="0" xfId="0" applyAlignment="1" applyBorder="1" applyFont="1">
      <alignment vertical="center"/>
    </xf>
    <xf borderId="8" fillId="2" fontId="8" numFmtId="0" xfId="0" applyAlignment="1" applyBorder="1" applyFont="1">
      <alignment horizontal="center" vertical="center"/>
    </xf>
    <xf borderId="8" fillId="2" fontId="8" numFmtId="0" xfId="0" applyAlignment="1" applyBorder="1" applyFont="1">
      <alignment horizontal="center" shrinkToFit="0" vertical="center" wrapText="1"/>
    </xf>
    <xf borderId="1" fillId="2" fontId="8" numFmtId="0" xfId="0" applyAlignment="1" applyBorder="1" applyFont="1">
      <alignment horizontal="center" vertical="center"/>
    </xf>
    <xf borderId="9" fillId="0" fontId="2" numFmtId="0" xfId="0" applyBorder="1" applyFont="1"/>
    <xf borderId="10" fillId="0" fontId="2" numFmtId="0" xfId="0" applyBorder="1" applyFont="1"/>
    <xf borderId="4" fillId="2" fontId="8" numFmtId="0" xfId="0" applyAlignment="1" applyBorder="1" applyFont="1">
      <alignment horizontal="center" shrinkToFit="0" vertical="center" wrapText="1"/>
    </xf>
    <xf borderId="4" fillId="2" fontId="8" numFmtId="0" xfId="0" applyAlignment="1" applyBorder="1" applyFont="1">
      <alignment horizontal="center" vertical="center"/>
    </xf>
    <xf borderId="8" fillId="0" fontId="8" numFmtId="0" xfId="0" applyAlignment="1" applyBorder="1" applyFont="1">
      <alignment horizontal="left" shrinkToFit="0" vertical="center" wrapText="1"/>
    </xf>
    <xf borderId="4" fillId="0" fontId="8" numFmtId="0" xfId="0" applyAlignment="1" applyBorder="1" applyFont="1">
      <alignment horizontal="left" shrinkToFit="0" vertical="center" wrapText="1"/>
    </xf>
    <xf borderId="4" fillId="2" fontId="4" numFmtId="164" xfId="0" applyAlignment="1" applyBorder="1" applyFont="1" applyNumberFormat="1">
      <alignment horizontal="center" vertical="center"/>
    </xf>
    <xf borderId="8" fillId="2" fontId="4" numFmtId="164" xfId="0" applyAlignment="1" applyBorder="1" applyFont="1" applyNumberFormat="1">
      <alignment horizontal="center" vertical="center"/>
    </xf>
    <xf borderId="11" fillId="0" fontId="2" numFmtId="0" xfId="0" applyBorder="1" applyFont="1"/>
    <xf borderId="12" fillId="2" fontId="4" numFmtId="0" xfId="0" applyAlignment="1" applyBorder="1" applyFont="1">
      <alignment horizontal="center" vertical="center"/>
    </xf>
    <xf borderId="13" fillId="0" fontId="2" numFmtId="0" xfId="0" applyBorder="1" applyFont="1"/>
    <xf borderId="4" fillId="2" fontId="9" numFmtId="0" xfId="0" applyAlignment="1" applyBorder="1" applyFont="1">
      <alignment horizontal="center" vertical="center"/>
    </xf>
    <xf borderId="14" fillId="0" fontId="2" numFmtId="0" xfId="0" applyBorder="1" applyFont="1"/>
    <xf borderId="15" fillId="0" fontId="2" numFmtId="0" xfId="0" applyBorder="1" applyFont="1"/>
    <xf borderId="16" fillId="2" fontId="4" numFmtId="0" xfId="0" applyAlignment="1" applyBorder="1" applyFont="1">
      <alignment vertical="center"/>
    </xf>
    <xf borderId="12" fillId="2" fontId="8"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0" fillId="0" fontId="5" numFmtId="0" xfId="0" applyAlignment="1" applyFont="1">
      <alignment horizontal="center" shrinkToFit="0" vertical="center" wrapText="1"/>
    </xf>
    <xf borderId="16" fillId="2" fontId="1" numFmtId="0" xfId="0" applyAlignment="1" applyBorder="1" applyFont="1">
      <alignment vertical="center"/>
    </xf>
    <xf borderId="5" fillId="2" fontId="7" numFmtId="0" xfId="0" applyAlignment="1" applyBorder="1" applyFont="1">
      <alignment horizontal="center" shrinkToFit="0" vertical="center" wrapText="1"/>
    </xf>
    <xf borderId="3" fillId="2" fontId="3" numFmtId="0" xfId="0" applyAlignment="1" applyBorder="1" applyFont="1">
      <alignment horizontal="center"/>
    </xf>
    <xf borderId="4" fillId="2" fontId="4" numFmtId="0" xfId="0" applyAlignment="1" applyBorder="1" applyFont="1">
      <alignment horizontal="center" vertical="center"/>
    </xf>
    <xf borderId="8" fillId="0" fontId="8" numFmtId="0" xfId="0" applyAlignment="1" applyBorder="1" applyFont="1">
      <alignment horizontal="center" shrinkToFit="0" vertical="center" wrapText="1"/>
    </xf>
    <xf borderId="21" fillId="2" fontId="8" numFmtId="0" xfId="0" applyAlignment="1" applyBorder="1" applyFont="1">
      <alignment horizontal="center" shrinkToFit="0" vertical="center" wrapText="1"/>
    </xf>
    <xf borderId="3" fillId="2" fontId="8" numFmtId="0" xfId="0" applyAlignment="1" applyBorder="1" applyFont="1">
      <alignment horizontal="center" vertical="center"/>
    </xf>
    <xf borderId="3" fillId="2" fontId="8" numFmtId="0" xfId="0" applyAlignment="1" applyBorder="1" applyFont="1">
      <alignment horizontal="center" shrinkToFit="0" vertical="center" wrapText="1"/>
    </xf>
    <xf borderId="3" fillId="2" fontId="10" numFmtId="0" xfId="0" applyAlignment="1" applyBorder="1" applyFont="1">
      <alignment horizontal="center" vertical="center"/>
    </xf>
    <xf borderId="22" fillId="2" fontId="3" numFmtId="0" xfId="0" applyAlignment="1" applyBorder="1" applyFont="1">
      <alignment horizontal="left" vertical="center"/>
    </xf>
    <xf borderId="23" fillId="0" fontId="2" numFmtId="0" xfId="0" applyBorder="1" applyFont="1"/>
    <xf borderId="24" fillId="0" fontId="2" numFmtId="0" xfId="0" applyBorder="1" applyFont="1"/>
    <xf borderId="1" fillId="2" fontId="7" numFmtId="0" xfId="0" applyAlignment="1" applyBorder="1" applyFont="1">
      <alignment horizontal="center" vertical="center"/>
    </xf>
    <xf borderId="4" fillId="2" fontId="8" numFmtId="0" xfId="0" applyAlignment="1" applyBorder="1" applyFont="1">
      <alignment vertical="center"/>
    </xf>
    <xf borderId="8" fillId="2" fontId="4" numFmtId="0" xfId="0" applyAlignment="1" applyBorder="1" applyFont="1">
      <alignment horizontal="center" shrinkToFit="0" vertical="center" wrapText="1"/>
    </xf>
    <xf borderId="12" fillId="2" fontId="3" numFmtId="0" xfId="0" applyAlignment="1" applyBorder="1" applyFont="1">
      <alignment horizontal="left" vertical="center"/>
    </xf>
    <xf borderId="3" fillId="2" fontId="9" numFmtId="0" xfId="0" applyAlignment="1" applyBorder="1" applyFont="1">
      <alignment shrinkToFit="0" vertical="center" wrapText="1"/>
    </xf>
    <xf borderId="3" fillId="2" fontId="11" numFmtId="0" xfId="0" applyAlignment="1" applyBorder="1" applyFont="1">
      <alignment shrinkToFit="0" vertical="center" wrapText="1"/>
    </xf>
    <xf borderId="4" fillId="2" fontId="4" numFmtId="164" xfId="0" applyAlignment="1" applyBorder="1" applyFont="1" applyNumberFormat="1">
      <alignment vertical="center"/>
    </xf>
    <xf borderId="8" fillId="2" fontId="4" numFmtId="0" xfId="0" applyAlignment="1" applyBorder="1" applyFont="1">
      <alignment horizontal="center" vertical="center"/>
    </xf>
    <xf borderId="16" fillId="2" fontId="4" numFmtId="164" xfId="0" applyAlignment="1" applyBorder="1" applyFont="1" applyNumberFormat="1">
      <alignment vertical="center"/>
    </xf>
    <xf borderId="25" fillId="0" fontId="2" numFmtId="0" xfId="0" applyBorder="1" applyFont="1"/>
    <xf borderId="21" fillId="2" fontId="4" numFmtId="164" xfId="0" applyAlignment="1" applyBorder="1" applyFont="1" applyNumberFormat="1">
      <alignment vertical="center"/>
    </xf>
    <xf borderId="22" fillId="2" fontId="4" numFmtId="0" xfId="0" applyAlignment="1" applyBorder="1" applyFont="1">
      <alignment horizontal="center" vertical="center"/>
    </xf>
    <xf borderId="26" fillId="2" fontId="4" numFmtId="0" xfId="0" applyAlignment="1" applyBorder="1" applyFont="1">
      <alignment vertical="center"/>
    </xf>
    <xf borderId="26" fillId="2" fontId="9" numFmtId="0" xfId="0" applyAlignment="1" applyBorder="1" applyFont="1">
      <alignment horizontal="center" shrinkToFit="0" vertical="center" wrapText="1"/>
    </xf>
    <xf borderId="3" fillId="2" fontId="4" numFmtId="0" xfId="0" applyAlignment="1" applyBorder="1" applyFont="1">
      <alignment horizontal="center" vertical="center"/>
    </xf>
    <xf borderId="3" fillId="2" fontId="4" numFmtId="0" xfId="0" applyAlignment="1" applyBorder="1" applyFont="1">
      <alignment vertical="center"/>
    </xf>
    <xf borderId="0" fillId="0" fontId="7" numFmtId="0" xfId="0" applyAlignment="1" applyFont="1">
      <alignment horizontal="center" shrinkToFit="0" vertical="center" wrapText="1"/>
    </xf>
    <xf borderId="4" fillId="2" fontId="12" numFmtId="0" xfId="0" applyAlignment="1" applyBorder="1" applyFont="1">
      <alignment vertical="center"/>
    </xf>
    <xf borderId="16" fillId="2" fontId="4" numFmtId="0" xfId="0" applyAlignment="1" applyBorder="1" applyFont="1">
      <alignment horizontal="center" vertical="center"/>
    </xf>
    <xf borderId="4" fillId="0" fontId="8" numFmtId="0" xfId="0" applyAlignment="1" applyBorder="1" applyFont="1">
      <alignment horizontal="center" shrinkToFit="0" vertical="center" wrapText="1"/>
    </xf>
    <xf borderId="27" fillId="2" fontId="13" numFmtId="0" xfId="0" applyAlignment="1" applyBorder="1" applyFont="1">
      <alignment horizontal="center" shrinkToFit="0" vertical="center" wrapText="1"/>
    </xf>
    <xf borderId="8" fillId="2" fontId="8" numFmtId="0" xfId="0" applyAlignment="1" applyBorder="1" applyFont="1">
      <alignment horizontal="left" shrinkToFit="0" vertical="center" wrapText="1"/>
    </xf>
    <xf borderId="5" fillId="2" fontId="6" numFmtId="0" xfId="0" applyAlignment="1" applyBorder="1" applyFont="1">
      <alignment horizontal="center" shrinkToFit="0" vertical="center" wrapText="1"/>
    </xf>
    <xf borderId="4" fillId="2" fontId="8" numFmtId="0" xfId="0" applyAlignment="1" applyBorder="1" applyFont="1">
      <alignment horizontal="left" shrinkToFit="0" vertical="center" wrapText="1"/>
    </xf>
    <xf borderId="16" fillId="2" fontId="8" numFmtId="0" xfId="0" applyAlignment="1" applyBorder="1" applyFont="1">
      <alignment horizontal="center" vertical="center"/>
    </xf>
    <xf borderId="13" fillId="0" fontId="8" numFmtId="0" xfId="0" applyAlignment="1" applyBorder="1" applyFont="1">
      <alignment horizontal="left" shrinkToFit="0" vertical="center" wrapText="1"/>
    </xf>
    <xf borderId="27" fillId="2" fontId="4" numFmtId="164" xfId="0" applyAlignment="1" applyBorder="1" applyFont="1" applyNumberFormat="1">
      <alignment vertical="center"/>
    </xf>
    <xf borderId="3" fillId="2" fontId="8" numFmtId="0" xfId="0" applyAlignment="1" applyBorder="1" applyFont="1">
      <alignment horizontal="left" shrinkToFit="0" vertical="center" wrapText="1"/>
    </xf>
    <xf borderId="11" fillId="0" fontId="8" numFmtId="0" xfId="0" applyAlignment="1" applyBorder="1" applyFont="1">
      <alignment shrinkToFit="0" vertical="center" wrapText="1"/>
    </xf>
    <xf borderId="2" fillId="0" fontId="8" numFmtId="0" xfId="0" applyAlignment="1" applyBorder="1" applyFont="1">
      <alignment horizontal="left" shrinkToFit="0" vertical="center" wrapText="1"/>
    </xf>
    <xf borderId="28" fillId="2" fontId="4" numFmtId="0" xfId="0" applyAlignment="1" applyBorder="1" applyFont="1">
      <alignment horizontal="center" vertical="center"/>
    </xf>
    <xf borderId="4" fillId="2" fontId="9" numFmtId="0" xfId="0" applyAlignment="1" applyBorder="1" applyFont="1">
      <alignment horizontal="center" shrinkToFit="0" vertical="center" wrapText="1"/>
    </xf>
    <xf borderId="4" fillId="2" fontId="4" numFmtId="164" xfId="0" applyAlignment="1" applyBorder="1" applyFont="1" applyNumberFormat="1">
      <alignment shrinkToFit="0" vertical="center" wrapText="1"/>
    </xf>
    <xf borderId="4" fillId="2" fontId="7" numFmtId="0" xfId="0" applyAlignment="1" applyBorder="1" applyFont="1">
      <alignment vertical="center"/>
    </xf>
    <xf borderId="0" fillId="0" fontId="8" numFmtId="0" xfId="0" applyFont="1"/>
    <xf borderId="4" fillId="2" fontId="13"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2" fontId="7" numFmtId="0" xfId="0" applyAlignment="1" applyBorder="1" applyFont="1">
      <alignment vertical="center"/>
    </xf>
    <xf borderId="4" fillId="2" fontId="4" numFmtId="0" xfId="0" applyAlignment="1" applyBorder="1" applyFont="1">
      <alignment shrinkToFit="0" vertical="center" wrapText="1"/>
    </xf>
    <xf borderId="4" fillId="2" fontId="4" numFmtId="0" xfId="0" applyAlignment="1" applyBorder="1" applyFont="1">
      <alignment horizontal="left" vertical="center"/>
    </xf>
    <xf borderId="27" fillId="2" fontId="4" numFmtId="0" xfId="0" applyAlignment="1" applyBorder="1" applyFont="1">
      <alignment horizontal="center" vertical="center"/>
    </xf>
  </cellXfs>
  <cellStyles count="1">
    <cellStyle xfId="0" name="Normal" builtinId="0"/>
  </cellStyles>
  <dxfs count="4">
    <dxf>
      <font/>
      <fill>
        <patternFill patternType="solid">
          <fgColor rgb="FFF4B083"/>
          <bgColor rgb="FFF4B083"/>
        </patternFill>
      </fill>
      <border/>
    </dxf>
    <dxf>
      <font/>
      <fill>
        <patternFill patternType="solid">
          <fgColor rgb="FFB4C6E7"/>
          <bgColor rgb="FFB4C6E7"/>
        </patternFill>
      </fill>
      <border/>
    </dxf>
    <dxf>
      <font>
        <color theme="1"/>
      </font>
      <fill>
        <patternFill patternType="solid">
          <fgColor rgb="FFF4B084"/>
          <bgColor rgb="FFF4B084"/>
        </patternFill>
      </fill>
      <border/>
    </dxf>
    <dxf>
      <font/>
      <fill>
        <patternFill patternType="solid">
          <fgColor rgb="FFF4B084"/>
          <bgColor rgb="FFF4B084"/>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238125</xdr:rowOff>
    </xdr:from>
    <xdr:ext cx="1666875" cy="990600"/>
    <xdr:sp>
      <xdr:nvSpPr>
        <xdr:cNvPr id="3" name="Shape 3"/>
        <xdr:cNvSpPr/>
      </xdr:nvSpPr>
      <xdr:spPr>
        <a:xfrm>
          <a:off x="4517325" y="3289463"/>
          <a:ext cx="165735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238125</xdr:rowOff>
    </xdr:from>
    <xdr:ext cx="1666875" cy="990600"/>
    <xdr:sp>
      <xdr:nvSpPr>
        <xdr:cNvPr id="4" name="Shape 4"/>
        <xdr:cNvSpPr/>
      </xdr:nvSpPr>
      <xdr:spPr>
        <a:xfrm>
          <a:off x="4517325" y="3289463"/>
          <a:ext cx="165735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9</xdr:row>
      <xdr:rowOff>238125</xdr:rowOff>
    </xdr:from>
    <xdr:ext cx="1666875" cy="990600"/>
    <xdr:sp>
      <xdr:nvSpPr>
        <xdr:cNvPr id="5" name="Shape 5"/>
        <xdr:cNvSpPr/>
      </xdr:nvSpPr>
      <xdr:spPr>
        <a:xfrm>
          <a:off x="4517325" y="3289463"/>
          <a:ext cx="165735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6" name="Shape 6"/>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7" name="Shape 7"/>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8" name="Shape 8"/>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9" name="Shape 9"/>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10" name="Shape 10"/>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11" name="Shape 11"/>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9</xdr:row>
      <xdr:rowOff>238125</xdr:rowOff>
    </xdr:from>
    <xdr:ext cx="2190750" cy="990600"/>
    <xdr:sp>
      <xdr:nvSpPr>
        <xdr:cNvPr id="12" name="Shape 12"/>
        <xdr:cNvSpPr/>
      </xdr:nvSpPr>
      <xdr:spPr>
        <a:xfrm>
          <a:off x="4260150" y="3289463"/>
          <a:ext cx="2171700" cy="981075"/>
        </a:xfrm>
        <a:prstGeom prst="wedgeRectCallout">
          <a:avLst>
            <a:gd fmla="val -55748" name="adj1"/>
            <a:gd fmla="val 28571" name="adj2"/>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L’acquisition des compétences est</a:t>
          </a:r>
          <a:r>
            <a:rPr lang="en-US" sz="1100">
              <a:solidFill>
                <a:schemeClr val="dk1"/>
              </a:solidFill>
              <a:latin typeface="Calibri"/>
              <a:ea typeface="Calibri"/>
              <a:cs typeface="Calibri"/>
              <a:sym typeface="Calibri"/>
            </a:rPr>
            <a:t> non </a:t>
          </a:r>
          <a:r>
            <a:rPr lang="en-US" sz="1100">
              <a:solidFill>
                <a:schemeClr val="dk1"/>
              </a:solidFill>
              <a:latin typeface="Calibri"/>
              <a:ea typeface="Calibri"/>
              <a:cs typeface="Calibri"/>
              <a:sym typeface="Calibri"/>
            </a:rPr>
            <a:t>mobilisée uniquement si l’apprenant est en situation de handicap et que l’évaluation ne lui est pas applicable.</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14"/>
    <col customWidth="1" min="2" max="2" width="31.86"/>
    <col customWidth="1" min="3" max="26" width="11.43"/>
  </cols>
  <sheetData>
    <row r="1" ht="24.0" customHeight="1">
      <c r="A1" s="1" t="s">
        <v>0</v>
      </c>
      <c r="B1" s="2"/>
      <c r="C1" s="3"/>
      <c r="D1" s="3"/>
      <c r="E1" s="3"/>
      <c r="F1" s="3"/>
      <c r="G1" s="3"/>
      <c r="H1" s="3"/>
      <c r="I1" s="3"/>
      <c r="J1" s="3"/>
      <c r="K1" s="3"/>
      <c r="L1" s="3"/>
      <c r="M1" s="3"/>
      <c r="N1" s="3"/>
      <c r="O1" s="3"/>
      <c r="P1" s="3"/>
      <c r="Q1" s="3"/>
      <c r="R1" s="3"/>
      <c r="S1" s="3"/>
      <c r="T1" s="3"/>
      <c r="U1" s="3"/>
      <c r="V1" s="3"/>
      <c r="W1" s="3"/>
      <c r="X1" s="3"/>
      <c r="Y1" s="3"/>
      <c r="Z1" s="3"/>
    </row>
    <row r="2" ht="13.5" customHeight="1">
      <c r="A2" s="3"/>
      <c r="B2" s="3"/>
      <c r="C2" s="3"/>
      <c r="D2" s="3"/>
      <c r="E2" s="3"/>
      <c r="F2" s="3"/>
      <c r="G2" s="3"/>
      <c r="H2" s="3"/>
      <c r="I2" s="3"/>
      <c r="J2" s="3"/>
      <c r="K2" s="3"/>
      <c r="L2" s="3"/>
      <c r="M2" s="3"/>
      <c r="N2" s="3"/>
      <c r="O2" s="3"/>
      <c r="P2" s="3"/>
      <c r="Q2" s="3"/>
      <c r="R2" s="3"/>
      <c r="S2" s="3"/>
      <c r="T2" s="3"/>
      <c r="U2" s="3"/>
      <c r="V2" s="3"/>
      <c r="W2" s="3"/>
      <c r="X2" s="3"/>
      <c r="Y2" s="3"/>
      <c r="Z2" s="3"/>
    </row>
    <row r="3" ht="27.0" customHeight="1">
      <c r="A3" s="4" t="s">
        <v>1</v>
      </c>
      <c r="B3" s="5"/>
      <c r="C3" s="3"/>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conditionalFormatting sqref="B3">
    <cfRule type="containsBlanks" dxfId="0" priority="1">
      <formula>LEN(TRIM(B3))=0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2</v>
      </c>
      <c r="B1" s="7"/>
      <c r="C1" s="7"/>
      <c r="D1" s="7"/>
      <c r="E1" s="7"/>
      <c r="F1" s="7"/>
      <c r="G1" s="7"/>
      <c r="H1" s="8"/>
      <c r="I1" s="9"/>
      <c r="J1" s="9"/>
      <c r="K1" s="9"/>
      <c r="L1" s="3"/>
      <c r="M1" s="3"/>
      <c r="N1" s="3"/>
      <c r="O1" s="3"/>
      <c r="P1" s="3"/>
      <c r="Q1" s="3"/>
      <c r="R1" s="3"/>
      <c r="S1" s="3"/>
      <c r="T1" s="3"/>
      <c r="U1" s="3"/>
      <c r="V1" s="3"/>
      <c r="W1" s="3"/>
      <c r="X1" s="3"/>
      <c r="Y1" s="3"/>
      <c r="Z1" s="3"/>
    </row>
    <row r="2" ht="180.0" customHeight="1">
      <c r="A2" s="10" t="s">
        <v>3</v>
      </c>
      <c r="I2" s="11"/>
      <c r="J2" s="11"/>
      <c r="K2" s="11"/>
      <c r="L2" s="3"/>
      <c r="M2" s="3"/>
      <c r="N2" s="3"/>
      <c r="O2" s="3"/>
      <c r="P2" s="3"/>
      <c r="Q2" s="3"/>
      <c r="R2" s="3"/>
      <c r="S2" s="3"/>
      <c r="T2" s="3"/>
      <c r="U2" s="3"/>
      <c r="V2" s="3"/>
      <c r="W2" s="3"/>
      <c r="X2" s="3"/>
      <c r="Y2" s="3"/>
      <c r="Z2" s="3"/>
    </row>
    <row r="3" ht="33.7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5"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9</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40.5" customHeight="1">
      <c r="A12" s="25" t="s">
        <v>17</v>
      </c>
      <c r="B12" s="26" t="s">
        <v>18</v>
      </c>
      <c r="C12" s="27"/>
      <c r="D12" s="27"/>
      <c r="E12" s="27"/>
      <c r="F12" s="28"/>
      <c r="G12" s="28"/>
      <c r="H12" s="28"/>
      <c r="I12" s="3"/>
      <c r="J12" s="3"/>
      <c r="K12" s="3"/>
      <c r="L12" s="3"/>
      <c r="M12" s="3"/>
      <c r="N12" s="3"/>
      <c r="O12" s="3"/>
      <c r="P12" s="3"/>
      <c r="Q12" s="3"/>
      <c r="R12" s="3"/>
      <c r="S12" s="3"/>
      <c r="T12" s="3"/>
      <c r="U12" s="3"/>
      <c r="V12" s="3"/>
      <c r="W12" s="3"/>
      <c r="X12" s="3"/>
      <c r="Y12" s="3"/>
      <c r="Z12" s="3"/>
    </row>
    <row r="13" ht="41.25" customHeight="1">
      <c r="A13" s="29"/>
      <c r="B13" s="26" t="s">
        <v>19</v>
      </c>
      <c r="C13" s="27"/>
      <c r="D13" s="27"/>
      <c r="E13" s="27"/>
      <c r="F13" s="29"/>
      <c r="G13" s="29"/>
      <c r="H13" s="29"/>
      <c r="I13" s="3"/>
      <c r="J13" s="3"/>
      <c r="K13" s="3"/>
      <c r="L13" s="3"/>
      <c r="M13" s="3"/>
      <c r="N13" s="3"/>
      <c r="O13" s="3"/>
      <c r="P13" s="3"/>
      <c r="Q13" s="3"/>
      <c r="R13" s="3"/>
      <c r="S13" s="3"/>
      <c r="T13" s="3"/>
      <c r="U13" s="3"/>
      <c r="V13" s="3"/>
      <c r="W13" s="3"/>
      <c r="X13" s="3"/>
      <c r="Y13" s="3"/>
      <c r="Z13" s="3"/>
    </row>
    <row r="14" ht="41.25" customHeight="1">
      <c r="A14" s="22"/>
      <c r="B14" s="26" t="s">
        <v>20</v>
      </c>
      <c r="C14" s="27"/>
      <c r="D14" s="27"/>
      <c r="E14" s="27"/>
      <c r="F14" s="22"/>
      <c r="G14" s="22"/>
      <c r="H14" s="22"/>
      <c r="I14" s="3"/>
      <c r="J14" s="3"/>
      <c r="K14" s="3"/>
      <c r="L14" s="3"/>
      <c r="M14" s="3"/>
      <c r="N14" s="3"/>
      <c r="O14" s="3"/>
      <c r="P14" s="3"/>
      <c r="Q14" s="3"/>
      <c r="R14" s="3"/>
      <c r="S14" s="3"/>
      <c r="T14" s="3"/>
      <c r="U14" s="3"/>
      <c r="V14" s="3"/>
      <c r="W14" s="3"/>
      <c r="X14" s="3"/>
      <c r="Y14" s="3"/>
      <c r="Z14" s="3"/>
    </row>
    <row r="15" ht="24.75" customHeight="1">
      <c r="A15" s="25" t="s">
        <v>21</v>
      </c>
      <c r="B15" s="26" t="s">
        <v>22</v>
      </c>
      <c r="C15" s="27"/>
      <c r="D15" s="27"/>
      <c r="E15" s="27"/>
      <c r="F15" s="28"/>
      <c r="G15" s="28"/>
      <c r="H15" s="28"/>
      <c r="I15" s="3"/>
      <c r="J15" s="3"/>
      <c r="K15" s="3"/>
      <c r="L15" s="3"/>
      <c r="M15" s="3"/>
      <c r="N15" s="3"/>
      <c r="O15" s="3"/>
      <c r="P15" s="3"/>
      <c r="Q15" s="3"/>
      <c r="R15" s="3"/>
      <c r="S15" s="3"/>
      <c r="T15" s="3"/>
      <c r="U15" s="3"/>
      <c r="V15" s="3"/>
      <c r="W15" s="3"/>
      <c r="X15" s="3"/>
      <c r="Y15" s="3"/>
      <c r="Z15" s="3"/>
    </row>
    <row r="16" ht="24.75" customHeight="1">
      <c r="A16" s="29"/>
      <c r="B16" s="26" t="s">
        <v>23</v>
      </c>
      <c r="C16" s="27"/>
      <c r="D16" s="27"/>
      <c r="E16" s="27"/>
      <c r="F16" s="29"/>
      <c r="G16" s="29"/>
      <c r="H16" s="29"/>
      <c r="I16" s="3"/>
      <c r="J16" s="3"/>
      <c r="K16" s="3"/>
      <c r="L16" s="3"/>
      <c r="M16" s="3"/>
      <c r="N16" s="3"/>
      <c r="O16" s="3"/>
      <c r="P16" s="3"/>
      <c r="Q16" s="3"/>
      <c r="R16" s="3"/>
      <c r="S16" s="3"/>
      <c r="T16" s="3"/>
      <c r="U16" s="3"/>
      <c r="V16" s="3"/>
      <c r="W16" s="3"/>
      <c r="X16" s="3"/>
      <c r="Y16" s="3"/>
      <c r="Z16" s="3"/>
    </row>
    <row r="17" ht="24.75" customHeight="1">
      <c r="A17" s="22"/>
      <c r="B17" s="26" t="s">
        <v>24</v>
      </c>
      <c r="C17" s="27"/>
      <c r="D17" s="27"/>
      <c r="E17" s="27"/>
      <c r="F17" s="22"/>
      <c r="G17" s="22"/>
      <c r="H17" s="22"/>
      <c r="I17" s="3"/>
      <c r="J17" s="3"/>
      <c r="K17" s="3"/>
      <c r="L17" s="3"/>
      <c r="M17" s="3"/>
      <c r="N17" s="3"/>
      <c r="O17" s="3"/>
      <c r="P17" s="3"/>
      <c r="Q17" s="3"/>
      <c r="R17" s="3"/>
      <c r="S17" s="3"/>
      <c r="T17" s="3"/>
      <c r="U17" s="3"/>
      <c r="V17" s="3"/>
      <c r="W17" s="3"/>
      <c r="X17" s="3"/>
      <c r="Y17" s="3"/>
      <c r="Z17" s="3"/>
    </row>
    <row r="18" ht="24.75" customHeight="1">
      <c r="A18" s="25" t="s">
        <v>25</v>
      </c>
      <c r="B18" s="26" t="s">
        <v>26</v>
      </c>
      <c r="C18" s="27"/>
      <c r="D18" s="27"/>
      <c r="E18" s="27"/>
      <c r="F18" s="28"/>
      <c r="G18" s="28"/>
      <c r="H18" s="28"/>
      <c r="I18" s="3"/>
      <c r="J18" s="3"/>
      <c r="K18" s="3"/>
      <c r="L18" s="3"/>
      <c r="M18" s="3"/>
      <c r="N18" s="3"/>
      <c r="O18" s="3"/>
      <c r="P18" s="3"/>
      <c r="Q18" s="3"/>
      <c r="R18" s="3"/>
      <c r="S18" s="3"/>
      <c r="T18" s="3"/>
      <c r="U18" s="3"/>
      <c r="V18" s="3"/>
      <c r="W18" s="3"/>
      <c r="X18" s="3"/>
      <c r="Y18" s="3"/>
      <c r="Z18" s="3"/>
    </row>
    <row r="19" ht="24.75" customHeight="1">
      <c r="A19" s="29"/>
      <c r="B19" s="26" t="s">
        <v>27</v>
      </c>
      <c r="C19" s="27"/>
      <c r="D19" s="27"/>
      <c r="E19" s="27"/>
      <c r="F19" s="29"/>
      <c r="G19" s="29"/>
      <c r="H19" s="29"/>
      <c r="I19" s="3"/>
      <c r="J19" s="3"/>
      <c r="K19" s="3"/>
      <c r="L19" s="3"/>
      <c r="M19" s="3"/>
      <c r="N19" s="3"/>
      <c r="O19" s="3"/>
      <c r="P19" s="3"/>
      <c r="Q19" s="3"/>
      <c r="R19" s="3"/>
      <c r="S19" s="3"/>
      <c r="T19" s="3"/>
      <c r="U19" s="3"/>
      <c r="V19" s="3"/>
      <c r="W19" s="3"/>
      <c r="X19" s="3"/>
      <c r="Y19" s="3"/>
      <c r="Z19" s="3"/>
    </row>
    <row r="20" ht="24.75" customHeight="1">
      <c r="A20" s="22"/>
      <c r="B20" s="26" t="s">
        <v>28</v>
      </c>
      <c r="C20" s="27"/>
      <c r="D20" s="27"/>
      <c r="E20" s="27"/>
      <c r="F20" s="22"/>
      <c r="G20" s="22"/>
      <c r="H20" s="22"/>
      <c r="I20" s="3"/>
      <c r="J20" s="3"/>
      <c r="K20" s="3"/>
      <c r="L20" s="3"/>
      <c r="M20" s="3"/>
      <c r="N20" s="3"/>
      <c r="O20" s="3"/>
      <c r="P20" s="3"/>
      <c r="Q20" s="3"/>
      <c r="R20" s="3"/>
      <c r="S20" s="3"/>
      <c r="T20" s="3"/>
      <c r="U20" s="3"/>
      <c r="V20" s="3"/>
      <c r="W20" s="3"/>
      <c r="X20" s="3"/>
      <c r="Y20" s="3"/>
      <c r="Z20" s="3"/>
    </row>
    <row r="21" ht="24.75" customHeight="1">
      <c r="A21" s="25" t="s">
        <v>29</v>
      </c>
      <c r="B21" s="26" t="s">
        <v>30</v>
      </c>
      <c r="C21" s="27"/>
      <c r="D21" s="27"/>
      <c r="E21" s="27"/>
      <c r="F21" s="28"/>
      <c r="G21" s="28"/>
      <c r="H21" s="28"/>
      <c r="I21" s="3"/>
      <c r="J21" s="3"/>
      <c r="K21" s="3"/>
      <c r="L21" s="3"/>
      <c r="M21" s="3"/>
      <c r="N21" s="3"/>
      <c r="O21" s="3"/>
      <c r="P21" s="3"/>
      <c r="Q21" s="3"/>
      <c r="R21" s="3"/>
      <c r="S21" s="3"/>
      <c r="T21" s="3"/>
      <c r="U21" s="3"/>
      <c r="V21" s="3"/>
      <c r="W21" s="3"/>
      <c r="X21" s="3"/>
      <c r="Y21" s="3"/>
      <c r="Z21" s="3"/>
    </row>
    <row r="22" ht="24.75" customHeight="1">
      <c r="A22" s="29"/>
      <c r="B22" s="26" t="s">
        <v>31</v>
      </c>
      <c r="C22" s="27"/>
      <c r="D22" s="27"/>
      <c r="E22" s="27"/>
      <c r="F22" s="29"/>
      <c r="G22" s="29"/>
      <c r="H22" s="29"/>
      <c r="I22" s="3"/>
      <c r="J22" s="3"/>
      <c r="K22" s="3"/>
      <c r="L22" s="3"/>
      <c r="M22" s="3"/>
      <c r="N22" s="3"/>
      <c r="O22" s="3"/>
      <c r="P22" s="3"/>
      <c r="Q22" s="3"/>
      <c r="R22" s="3"/>
      <c r="S22" s="3"/>
      <c r="T22" s="3"/>
      <c r="U22" s="3"/>
      <c r="V22" s="3"/>
      <c r="W22" s="3"/>
      <c r="X22" s="3"/>
      <c r="Y22" s="3"/>
      <c r="Z22" s="3"/>
    </row>
    <row r="23" ht="24.75" customHeight="1">
      <c r="A23" s="22"/>
      <c r="B23" s="26" t="s">
        <v>32</v>
      </c>
      <c r="C23" s="27"/>
      <c r="D23" s="27"/>
      <c r="E23" s="27"/>
      <c r="F23" s="22"/>
      <c r="G23" s="22"/>
      <c r="H23" s="22"/>
      <c r="I23" s="3"/>
      <c r="J23" s="3"/>
      <c r="K23" s="3"/>
      <c r="L23" s="3"/>
      <c r="M23" s="3"/>
      <c r="N23" s="3"/>
      <c r="O23" s="3"/>
      <c r="P23" s="3"/>
      <c r="Q23" s="3"/>
      <c r="R23" s="3"/>
      <c r="S23" s="3"/>
      <c r="T23" s="3"/>
      <c r="U23" s="3"/>
      <c r="V23" s="3"/>
      <c r="W23" s="3"/>
      <c r="X23" s="3"/>
      <c r="Y23" s="3"/>
      <c r="Z23" s="3"/>
    </row>
    <row r="24" ht="24.75" customHeight="1">
      <c r="A24" s="12"/>
      <c r="B24" s="12"/>
      <c r="C24" s="12"/>
      <c r="D24" s="12"/>
      <c r="E24" s="30" t="s">
        <v>33</v>
      </c>
      <c r="F24" s="31"/>
      <c r="G24" s="5" t="s">
        <v>34</v>
      </c>
      <c r="H24" s="32" t="str">
        <f>IF(AND(OR(F12="X",H12="X"), OR(F18="X",H18="X"), OR(F15="X", H15="X"), OR(F21="X",H21="X")), "X", "")</f>
        <v/>
      </c>
      <c r="I24" s="3"/>
      <c r="J24" s="3"/>
      <c r="K24" s="3"/>
      <c r="L24" s="3"/>
      <c r="M24" s="3"/>
      <c r="N24" s="3"/>
      <c r="O24" s="3"/>
      <c r="P24" s="3"/>
      <c r="Q24" s="3"/>
      <c r="R24" s="3"/>
      <c r="S24" s="3"/>
      <c r="T24" s="3"/>
      <c r="U24" s="3"/>
      <c r="V24" s="3"/>
      <c r="W24" s="3"/>
      <c r="X24" s="3"/>
      <c r="Y24" s="3"/>
      <c r="Z24" s="3"/>
    </row>
    <row r="25" ht="25.5" customHeight="1">
      <c r="A25" s="12"/>
      <c r="B25" s="12"/>
      <c r="C25" s="12"/>
      <c r="D25" s="12"/>
      <c r="E25" s="33"/>
      <c r="F25" s="34"/>
      <c r="G25" s="5" t="s">
        <v>35</v>
      </c>
      <c r="H25" s="32" t="str">
        <f>IF(OR( G12="x",G21="X",G15="X", G18="X"), "X", "")</f>
        <v/>
      </c>
      <c r="I25" s="3"/>
      <c r="J25" s="3"/>
      <c r="K25" s="3"/>
      <c r="L25" s="3"/>
      <c r="M25" s="3"/>
      <c r="N25" s="3"/>
      <c r="O25" s="3"/>
      <c r="P25" s="3"/>
      <c r="Q25" s="3"/>
      <c r="R25" s="3"/>
      <c r="S25" s="3"/>
      <c r="T25" s="3"/>
      <c r="U25" s="3"/>
      <c r="V25" s="3"/>
      <c r="W25" s="3"/>
      <c r="X25" s="3"/>
      <c r="Y25" s="3"/>
      <c r="Z25" s="3"/>
    </row>
    <row r="26" ht="34.5" customHeight="1">
      <c r="A26" s="12"/>
      <c r="B26" s="12"/>
      <c r="C26" s="12"/>
      <c r="D26" s="12"/>
      <c r="E26" s="12"/>
      <c r="F26" s="15"/>
      <c r="G26" s="15"/>
      <c r="H26" s="12"/>
      <c r="I26" s="3"/>
      <c r="J26" s="3"/>
      <c r="K26" s="3"/>
      <c r="L26" s="3"/>
      <c r="M26" s="3"/>
      <c r="N26" s="3"/>
      <c r="O26" s="3"/>
      <c r="P26" s="3"/>
      <c r="Q26" s="3"/>
      <c r="R26" s="3"/>
      <c r="S26" s="3"/>
      <c r="T26" s="3"/>
      <c r="U26" s="3"/>
      <c r="V26" s="3"/>
      <c r="W26" s="3"/>
      <c r="X26" s="3"/>
      <c r="Y26" s="3"/>
      <c r="Z26" s="3"/>
    </row>
    <row r="27" ht="34.5" customHeight="1">
      <c r="A27" s="35" t="s">
        <v>36</v>
      </c>
      <c r="B27" s="12"/>
      <c r="C27" s="12"/>
      <c r="D27" s="12"/>
      <c r="E27" s="12"/>
      <c r="F27" s="12"/>
      <c r="G27" s="12"/>
      <c r="H27" s="12"/>
      <c r="I27" s="3"/>
      <c r="J27" s="3"/>
      <c r="K27" s="3"/>
      <c r="L27" s="3"/>
      <c r="M27" s="3"/>
      <c r="N27" s="3"/>
      <c r="O27" s="3"/>
      <c r="P27" s="3"/>
      <c r="Q27" s="3"/>
      <c r="R27" s="3"/>
      <c r="S27" s="3"/>
      <c r="T27" s="3"/>
      <c r="U27" s="3"/>
      <c r="V27" s="3"/>
      <c r="W27" s="3"/>
      <c r="X27" s="3"/>
      <c r="Y27" s="3"/>
      <c r="Z27" s="3"/>
    </row>
    <row r="28" ht="34.5" customHeight="1">
      <c r="A28" s="36"/>
      <c r="B28" s="37"/>
      <c r="C28" s="37"/>
      <c r="D28" s="37"/>
      <c r="E28" s="37"/>
      <c r="F28" s="37"/>
      <c r="G28" s="37"/>
      <c r="H28" s="31"/>
      <c r="I28" s="3"/>
      <c r="J28" s="3"/>
      <c r="K28" s="3"/>
      <c r="L28" s="3"/>
      <c r="M28" s="3"/>
      <c r="N28" s="3"/>
      <c r="O28" s="3"/>
      <c r="P28" s="3"/>
      <c r="Q28" s="3"/>
      <c r="R28" s="3"/>
      <c r="S28" s="3"/>
      <c r="T28" s="3"/>
      <c r="U28" s="3"/>
      <c r="V28" s="3"/>
      <c r="W28" s="3"/>
      <c r="X28" s="3"/>
      <c r="Y28" s="3"/>
      <c r="Z28" s="3"/>
    </row>
    <row r="29" ht="34.5" customHeight="1">
      <c r="A29" s="38"/>
      <c r="H29" s="39"/>
      <c r="I29" s="3"/>
      <c r="J29" s="3"/>
      <c r="K29" s="3"/>
      <c r="L29" s="3"/>
      <c r="M29" s="3"/>
      <c r="N29" s="3"/>
      <c r="O29" s="3"/>
      <c r="P29" s="3"/>
      <c r="Q29" s="3"/>
      <c r="R29" s="3"/>
      <c r="S29" s="3"/>
      <c r="T29" s="3"/>
      <c r="U29" s="3"/>
      <c r="V29" s="3"/>
      <c r="W29" s="3"/>
      <c r="X29" s="3"/>
      <c r="Y29" s="3"/>
      <c r="Z29" s="3"/>
    </row>
    <row r="30" ht="34.5" customHeight="1">
      <c r="A30" s="33"/>
      <c r="B30" s="40"/>
      <c r="C30" s="40"/>
      <c r="D30" s="40"/>
      <c r="E30" s="40"/>
      <c r="F30" s="40"/>
      <c r="G30" s="40"/>
      <c r="H30" s="34"/>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4">
    <mergeCell ref="A12:A14"/>
    <mergeCell ref="A15:A17"/>
    <mergeCell ref="A18:A20"/>
    <mergeCell ref="A21:A23"/>
    <mergeCell ref="A1:H1"/>
    <mergeCell ref="A2:H2"/>
    <mergeCell ref="A10:A11"/>
    <mergeCell ref="B10:B11"/>
    <mergeCell ref="C10:E10"/>
    <mergeCell ref="F10:H10"/>
    <mergeCell ref="H12:H14"/>
    <mergeCell ref="F18:F20"/>
    <mergeCell ref="F21:F23"/>
    <mergeCell ref="G21:G23"/>
    <mergeCell ref="H21:H23"/>
    <mergeCell ref="E24:F25"/>
    <mergeCell ref="A28:H30"/>
    <mergeCell ref="F12:F14"/>
    <mergeCell ref="G12:G14"/>
    <mergeCell ref="F15:F17"/>
    <mergeCell ref="G15:G17"/>
    <mergeCell ref="H15:H17"/>
    <mergeCell ref="G18:G20"/>
    <mergeCell ref="H18:H20"/>
  </mergeCells>
  <conditionalFormatting sqref="A28:H30 B4:B5 B7">
    <cfRule type="containsBlanks" dxfId="0" priority="1">
      <formula>LEN(TRIM(A28))=0</formula>
    </cfRule>
  </conditionalFormatting>
  <conditionalFormatting sqref="C12:H12 C13:E14 C15:H15 C16:E17 C18:H18 C19:E20 C21:H21 C22:E23">
    <cfRule type="containsBlanks" dxfId="0" priority="2">
      <formula>LEN(TRIM(C12))=0</formula>
    </cfRule>
  </conditionalFormatting>
  <conditionalFormatting sqref="H24:H25">
    <cfRule type="containsBlanks" dxfId="0" priority="3">
      <formula>LEN(TRIM(H24))=0</formula>
    </cfRule>
  </conditionalFormatting>
  <dataValidations>
    <dataValidation type="list" allowBlank="1" showErrorMessage="1" sqref="C12:H12 C13:E14 C15:H15 C16:E17 C18:H18 C19:E20 C21:H21 C22:E23">
      <formula1>"X"</formula1>
    </dataValidation>
    <dataValidation type="custom" allowBlank="1" showInputMessage="1" showErrorMessage="1" prompt="Erreur de saisie - Le commentaire est obligatoire. Veuillez remplir cette section" sqref="A28">
      <formula1>GT(LEN(A28),(2))</formula1>
    </dataValidation>
  </dataValidations>
  <printOptions/>
  <pageMargins bottom="0.748031496062992" footer="0.0" header="0.0" left="0.708661417322835" right="0.708661417322835" top="0.748031496062992"/>
  <pageSetup paperSize="8" scale="50" orientation="landscape"/>
  <headerFooter>
    <oddHeader>&amp;L000000</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41" t="s">
        <v>2</v>
      </c>
      <c r="I1" s="9"/>
      <c r="J1" s="9"/>
      <c r="K1" s="9"/>
      <c r="L1" s="3"/>
      <c r="M1" s="3"/>
      <c r="N1" s="3"/>
      <c r="O1" s="3"/>
      <c r="P1" s="3"/>
      <c r="Q1" s="3"/>
      <c r="R1" s="3"/>
      <c r="S1" s="3"/>
      <c r="T1" s="3"/>
      <c r="U1" s="3"/>
      <c r="V1" s="3"/>
      <c r="W1" s="3"/>
      <c r="X1" s="3"/>
      <c r="Y1" s="3"/>
      <c r="Z1" s="3"/>
    </row>
    <row r="2" ht="180.0" customHeight="1">
      <c r="A2" s="10" t="s">
        <v>37</v>
      </c>
      <c r="I2" s="11"/>
      <c r="J2" s="11"/>
      <c r="K2" s="11"/>
      <c r="L2" s="3"/>
      <c r="M2" s="3"/>
      <c r="N2" s="3"/>
      <c r="O2" s="3"/>
      <c r="P2" s="3"/>
      <c r="Q2" s="3"/>
      <c r="R2" s="3"/>
      <c r="S2" s="3"/>
      <c r="T2" s="3"/>
      <c r="U2" s="3"/>
      <c r="V2" s="3"/>
      <c r="W2" s="3"/>
      <c r="X2" s="3"/>
      <c r="Y2" s="3"/>
      <c r="Z2" s="3"/>
    </row>
    <row r="3" ht="33.7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5"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9</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33.0" customHeight="1">
      <c r="A12" s="25" t="s">
        <v>38</v>
      </c>
      <c r="B12" s="26" t="s">
        <v>39</v>
      </c>
      <c r="C12" s="27"/>
      <c r="D12" s="27"/>
      <c r="E12" s="27"/>
      <c r="F12" s="28"/>
      <c r="G12" s="28"/>
      <c r="H12" s="28"/>
      <c r="I12" s="3"/>
      <c r="J12" s="3"/>
      <c r="K12" s="3"/>
      <c r="L12" s="3"/>
      <c r="M12" s="3"/>
      <c r="N12" s="3"/>
      <c r="O12" s="3"/>
      <c r="P12" s="3"/>
      <c r="Q12" s="3"/>
      <c r="R12" s="3"/>
      <c r="S12" s="3"/>
      <c r="T12" s="3"/>
      <c r="U12" s="3"/>
      <c r="V12" s="3"/>
      <c r="W12" s="3"/>
      <c r="X12" s="3"/>
      <c r="Y12" s="3"/>
      <c r="Z12" s="3"/>
    </row>
    <row r="13" ht="24.75" customHeight="1">
      <c r="A13" s="29"/>
      <c r="B13" s="26" t="s">
        <v>40</v>
      </c>
      <c r="C13" s="27"/>
      <c r="D13" s="27"/>
      <c r="E13" s="27"/>
      <c r="F13" s="29"/>
      <c r="G13" s="29"/>
      <c r="H13" s="29"/>
      <c r="I13" s="3"/>
      <c r="J13" s="3"/>
      <c r="K13" s="3"/>
      <c r="L13" s="3"/>
      <c r="M13" s="3"/>
      <c r="N13" s="3"/>
      <c r="O13" s="3"/>
      <c r="P13" s="3"/>
      <c r="Q13" s="3"/>
      <c r="R13" s="3"/>
      <c r="S13" s="3"/>
      <c r="T13" s="3"/>
      <c r="U13" s="3"/>
      <c r="V13" s="3"/>
      <c r="W13" s="3"/>
      <c r="X13" s="3"/>
      <c r="Y13" s="3"/>
      <c r="Z13" s="3"/>
    </row>
    <row r="14" ht="24.75" customHeight="1">
      <c r="A14" s="22"/>
      <c r="B14" s="26" t="s">
        <v>41</v>
      </c>
      <c r="C14" s="27"/>
      <c r="D14" s="27"/>
      <c r="E14" s="27"/>
      <c r="F14" s="22"/>
      <c r="G14" s="22"/>
      <c r="H14" s="22"/>
      <c r="I14" s="3"/>
      <c r="J14" s="3"/>
      <c r="K14" s="3"/>
      <c r="L14" s="3"/>
      <c r="M14" s="3"/>
      <c r="N14" s="3"/>
      <c r="O14" s="3"/>
      <c r="P14" s="3"/>
      <c r="Q14" s="3"/>
      <c r="R14" s="3"/>
      <c r="S14" s="3"/>
      <c r="T14" s="3"/>
      <c r="U14" s="3"/>
      <c r="V14" s="3"/>
      <c r="W14" s="3"/>
      <c r="X14" s="3"/>
      <c r="Y14" s="3"/>
      <c r="Z14" s="3"/>
    </row>
    <row r="15" ht="24.75" customHeight="1">
      <c r="A15" s="25" t="s">
        <v>42</v>
      </c>
      <c r="B15" s="26" t="s">
        <v>43</v>
      </c>
      <c r="C15" s="27"/>
      <c r="D15" s="27"/>
      <c r="E15" s="27"/>
      <c r="F15" s="28"/>
      <c r="G15" s="28"/>
      <c r="H15" s="28"/>
      <c r="I15" s="3"/>
      <c r="J15" s="3"/>
      <c r="K15" s="3"/>
      <c r="L15" s="3"/>
      <c r="M15" s="3"/>
      <c r="N15" s="3"/>
      <c r="O15" s="3"/>
      <c r="P15" s="3"/>
      <c r="Q15" s="3"/>
      <c r="R15" s="3"/>
      <c r="S15" s="3"/>
      <c r="T15" s="3"/>
      <c r="U15" s="3"/>
      <c r="V15" s="3"/>
      <c r="W15" s="3"/>
      <c r="X15" s="3"/>
      <c r="Y15" s="3"/>
      <c r="Z15" s="3"/>
    </row>
    <row r="16" ht="24.75" customHeight="1">
      <c r="A16" s="29"/>
      <c r="B16" s="26" t="s">
        <v>44</v>
      </c>
      <c r="C16" s="27"/>
      <c r="D16" s="27"/>
      <c r="E16" s="27"/>
      <c r="F16" s="29"/>
      <c r="G16" s="29"/>
      <c r="H16" s="29"/>
      <c r="I16" s="3"/>
      <c r="J16" s="3"/>
      <c r="K16" s="3"/>
      <c r="L16" s="3"/>
      <c r="M16" s="3"/>
      <c r="N16" s="3"/>
      <c r="O16" s="3"/>
      <c r="P16" s="3"/>
      <c r="Q16" s="3"/>
      <c r="R16" s="3"/>
      <c r="S16" s="3"/>
      <c r="T16" s="3"/>
      <c r="U16" s="3"/>
      <c r="V16" s="3"/>
      <c r="W16" s="3"/>
      <c r="X16" s="3"/>
      <c r="Y16" s="3"/>
      <c r="Z16" s="3"/>
    </row>
    <row r="17" ht="24.75" customHeight="1">
      <c r="A17" s="29"/>
      <c r="B17" s="26" t="s">
        <v>45</v>
      </c>
      <c r="C17" s="27"/>
      <c r="D17" s="27"/>
      <c r="E17" s="27"/>
      <c r="F17" s="29"/>
      <c r="G17" s="29"/>
      <c r="H17" s="29"/>
      <c r="I17" s="3"/>
      <c r="J17" s="3"/>
      <c r="K17" s="3"/>
      <c r="L17" s="3"/>
      <c r="M17" s="3"/>
      <c r="N17" s="3"/>
      <c r="O17" s="3"/>
      <c r="P17" s="3"/>
      <c r="Q17" s="3"/>
      <c r="R17" s="3"/>
      <c r="S17" s="3"/>
      <c r="T17" s="3"/>
      <c r="U17" s="3"/>
      <c r="V17" s="3"/>
      <c r="W17" s="3"/>
      <c r="X17" s="3"/>
      <c r="Y17" s="3"/>
      <c r="Z17" s="3"/>
    </row>
    <row r="18" ht="24.75" customHeight="1">
      <c r="A18" s="29"/>
      <c r="B18" s="26" t="s">
        <v>46</v>
      </c>
      <c r="C18" s="27"/>
      <c r="D18" s="27"/>
      <c r="E18" s="27"/>
      <c r="F18" s="29"/>
      <c r="G18" s="29"/>
      <c r="H18" s="29"/>
      <c r="I18" s="3"/>
      <c r="J18" s="3"/>
      <c r="K18" s="3"/>
      <c r="L18" s="3"/>
      <c r="M18" s="3"/>
      <c r="N18" s="3"/>
      <c r="O18" s="3"/>
      <c r="P18" s="3"/>
      <c r="Q18" s="3"/>
      <c r="R18" s="3"/>
      <c r="S18" s="3"/>
      <c r="T18" s="3"/>
      <c r="U18" s="3"/>
      <c r="V18" s="3"/>
      <c r="W18" s="3"/>
      <c r="X18" s="3"/>
      <c r="Y18" s="3"/>
      <c r="Z18" s="3"/>
    </row>
    <row r="19" ht="36.0" customHeight="1">
      <c r="A19" s="22"/>
      <c r="B19" s="26" t="s">
        <v>47</v>
      </c>
      <c r="C19" s="27"/>
      <c r="D19" s="27"/>
      <c r="E19" s="27"/>
      <c r="F19" s="22"/>
      <c r="G19" s="22"/>
      <c r="H19" s="22"/>
      <c r="I19" s="3"/>
      <c r="J19" s="3"/>
      <c r="K19" s="3"/>
      <c r="L19" s="3"/>
      <c r="M19" s="3"/>
      <c r="N19" s="3"/>
      <c r="O19" s="3"/>
      <c r="P19" s="3"/>
      <c r="Q19" s="3"/>
      <c r="R19" s="3"/>
      <c r="S19" s="3"/>
      <c r="T19" s="3"/>
      <c r="U19" s="3"/>
      <c r="V19" s="3"/>
      <c r="W19" s="3"/>
      <c r="X19" s="3"/>
      <c r="Y19" s="3"/>
      <c r="Z19" s="3"/>
    </row>
    <row r="20" ht="24.75" customHeight="1">
      <c r="A20" s="12"/>
      <c r="B20" s="12"/>
      <c r="C20" s="12"/>
      <c r="D20" s="12"/>
      <c r="E20" s="30" t="s">
        <v>33</v>
      </c>
      <c r="F20" s="31"/>
      <c r="G20" s="5" t="s">
        <v>34</v>
      </c>
      <c r="H20" s="32" t="str">
        <f>IF(AND(OR(F12="X",H12= "X"),OR(F15="X", H15="X")), "X", "")</f>
        <v/>
      </c>
      <c r="I20" s="3"/>
      <c r="J20" s="3"/>
      <c r="K20" s="3"/>
      <c r="L20" s="3"/>
      <c r="M20" s="3"/>
      <c r="N20" s="3"/>
      <c r="O20" s="3"/>
      <c r="P20" s="3"/>
      <c r="Q20" s="3"/>
      <c r="R20" s="3"/>
      <c r="S20" s="3"/>
      <c r="T20" s="3"/>
      <c r="U20" s="3"/>
      <c r="V20" s="3"/>
      <c r="W20" s="3"/>
      <c r="X20" s="3"/>
      <c r="Y20" s="3"/>
      <c r="Z20" s="3"/>
    </row>
    <row r="21" ht="25.5" customHeight="1">
      <c r="A21" s="12"/>
      <c r="B21" s="12"/>
      <c r="C21" s="12"/>
      <c r="D21" s="12"/>
      <c r="E21" s="33"/>
      <c r="F21" s="34"/>
      <c r="G21" s="5" t="s">
        <v>35</v>
      </c>
      <c r="H21" s="32" t="str">
        <f>IF(OR( G12="x",G15="X"), "X", "")</f>
        <v/>
      </c>
      <c r="I21" s="3"/>
      <c r="J21" s="3"/>
      <c r="K21" s="3"/>
      <c r="L21" s="3"/>
      <c r="M21" s="3"/>
      <c r="N21" s="3"/>
      <c r="O21" s="3"/>
      <c r="P21" s="3"/>
      <c r="Q21" s="3"/>
      <c r="R21" s="3"/>
      <c r="S21" s="3"/>
      <c r="T21" s="3"/>
      <c r="U21" s="3"/>
      <c r="V21" s="3"/>
      <c r="W21" s="3"/>
      <c r="X21" s="3"/>
      <c r="Y21" s="3"/>
      <c r="Z21" s="3"/>
    </row>
    <row r="22" ht="34.5" customHeight="1">
      <c r="A22" s="12"/>
      <c r="B22" s="12"/>
      <c r="C22" s="12"/>
      <c r="D22" s="12"/>
      <c r="E22" s="12"/>
      <c r="F22" s="15"/>
      <c r="G22" s="15"/>
      <c r="H22" s="12"/>
      <c r="I22" s="3"/>
      <c r="J22" s="3"/>
      <c r="K22" s="3"/>
      <c r="L22" s="3"/>
      <c r="M22" s="3"/>
      <c r="N22" s="3"/>
      <c r="O22" s="3"/>
      <c r="P22" s="3"/>
      <c r="Q22" s="3"/>
      <c r="R22" s="3"/>
      <c r="S22" s="3"/>
      <c r="T22" s="3"/>
      <c r="U22" s="3"/>
      <c r="V22" s="3"/>
      <c r="W22" s="3"/>
      <c r="X22" s="3"/>
      <c r="Y22" s="3"/>
      <c r="Z22" s="3"/>
    </row>
    <row r="23" ht="34.5" customHeight="1">
      <c r="A23" s="35" t="s">
        <v>36</v>
      </c>
      <c r="B23" s="12"/>
      <c r="C23" s="12"/>
      <c r="D23" s="12"/>
      <c r="E23" s="12"/>
      <c r="F23" s="12"/>
      <c r="G23" s="12"/>
      <c r="H23" s="12"/>
      <c r="I23" s="3"/>
      <c r="J23" s="3"/>
      <c r="K23" s="3"/>
      <c r="L23" s="3"/>
      <c r="M23" s="3"/>
      <c r="N23" s="3"/>
      <c r="O23" s="3"/>
      <c r="P23" s="3"/>
      <c r="Q23" s="3"/>
      <c r="R23" s="3"/>
      <c r="S23" s="3"/>
      <c r="T23" s="3"/>
      <c r="U23" s="3"/>
      <c r="V23" s="3"/>
      <c r="W23" s="3"/>
      <c r="X23" s="3"/>
      <c r="Y23" s="3"/>
      <c r="Z23" s="3"/>
    </row>
    <row r="24" ht="34.5" customHeight="1">
      <c r="A24" s="36"/>
      <c r="B24" s="37"/>
      <c r="C24" s="37"/>
      <c r="D24" s="37"/>
      <c r="E24" s="37"/>
      <c r="F24" s="37"/>
      <c r="G24" s="37"/>
      <c r="H24" s="31"/>
      <c r="I24" s="3"/>
      <c r="J24" s="3"/>
      <c r="K24" s="3"/>
      <c r="L24" s="3"/>
      <c r="M24" s="3"/>
      <c r="N24" s="3"/>
      <c r="O24" s="3"/>
      <c r="P24" s="3"/>
      <c r="Q24" s="3"/>
      <c r="R24" s="3"/>
      <c r="S24" s="3"/>
      <c r="T24" s="3"/>
      <c r="U24" s="3"/>
      <c r="V24" s="3"/>
      <c r="W24" s="3"/>
      <c r="X24" s="3"/>
      <c r="Y24" s="3"/>
      <c r="Z24" s="3"/>
    </row>
    <row r="25" ht="34.5" customHeight="1">
      <c r="A25" s="38"/>
      <c r="H25" s="39"/>
      <c r="I25" s="3"/>
      <c r="J25" s="3"/>
      <c r="K25" s="3"/>
      <c r="L25" s="3"/>
      <c r="M25" s="3"/>
      <c r="N25" s="3"/>
      <c r="O25" s="3"/>
      <c r="P25" s="3"/>
      <c r="Q25" s="3"/>
      <c r="R25" s="3"/>
      <c r="S25" s="3"/>
      <c r="T25" s="3"/>
      <c r="U25" s="3"/>
      <c r="V25" s="3"/>
      <c r="W25" s="3"/>
      <c r="X25" s="3"/>
      <c r="Y25" s="3"/>
      <c r="Z25" s="3"/>
    </row>
    <row r="26" ht="34.5" customHeight="1">
      <c r="A26" s="33"/>
      <c r="B26" s="40"/>
      <c r="C26" s="40"/>
      <c r="D26" s="40"/>
      <c r="E26" s="40"/>
      <c r="F26" s="40"/>
      <c r="G26" s="40"/>
      <c r="H26" s="34"/>
      <c r="I26" s="3"/>
      <c r="J26" s="3"/>
      <c r="K26" s="3"/>
      <c r="L26" s="3"/>
      <c r="M26" s="3"/>
      <c r="N26" s="3"/>
      <c r="O26" s="3"/>
      <c r="P26" s="3"/>
      <c r="Q26" s="3"/>
      <c r="R26" s="3"/>
      <c r="S26" s="3"/>
      <c r="T26" s="3"/>
      <c r="U26" s="3"/>
      <c r="V26" s="3"/>
      <c r="W26" s="3"/>
      <c r="X26" s="3"/>
      <c r="Y26" s="3"/>
      <c r="Z26" s="3"/>
    </row>
    <row r="27" ht="34.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4.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4.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F12:F14"/>
    <mergeCell ref="G12:G14"/>
    <mergeCell ref="F15:F19"/>
    <mergeCell ref="G15:G19"/>
    <mergeCell ref="H15:H19"/>
    <mergeCell ref="E20:F21"/>
    <mergeCell ref="A24:H26"/>
    <mergeCell ref="A12:A14"/>
    <mergeCell ref="A15:A19"/>
    <mergeCell ref="A1:H1"/>
    <mergeCell ref="A2:H2"/>
    <mergeCell ref="A10:A11"/>
    <mergeCell ref="B10:B11"/>
    <mergeCell ref="C10:E10"/>
    <mergeCell ref="F10:H10"/>
    <mergeCell ref="H12:H14"/>
  </mergeCells>
  <conditionalFormatting sqref="A24:H26 B4:B5 B7">
    <cfRule type="containsBlanks" dxfId="0" priority="1">
      <formula>LEN(TRIM(A24))=0</formula>
    </cfRule>
  </conditionalFormatting>
  <conditionalFormatting sqref="C12:H12 C13:E14 C15:H15 C16:E19">
    <cfRule type="containsBlanks" dxfId="0" priority="2">
      <formula>LEN(TRIM(C12))=0</formula>
    </cfRule>
  </conditionalFormatting>
  <conditionalFormatting sqref="H20:H21">
    <cfRule type="containsBlanks" dxfId="0" priority="3">
      <formula>LEN(TRIM(H20))=0</formula>
    </cfRule>
  </conditionalFormatting>
  <dataValidations>
    <dataValidation type="list" allowBlank="1" showErrorMessage="1" sqref="C12:H12 C13:E14 C15:H15 C16:E19">
      <formula1>"X"</formula1>
    </dataValidation>
    <dataValidation type="custom" allowBlank="1" showInputMessage="1" showErrorMessage="1" prompt="Erreur de saisie - Le commentaire est obligatoire. Veuillez remplir cette section" sqref="A24">
      <formula1>GT(LEN(A24),(2))</formula1>
    </dataValidation>
  </dataValidations>
  <printOptions/>
  <pageMargins bottom="0.748031496062992" footer="0.0" header="0.0" left="0.708661417322835" right="0.708661417322835" top="0.748031496062992"/>
  <pageSetup paperSize="8" scale="50" orientation="landscape"/>
  <headerFooter>
    <oddHeader>&amp;L000000</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41" t="s">
        <v>2</v>
      </c>
      <c r="I1" s="9"/>
      <c r="J1" s="9"/>
      <c r="K1" s="9"/>
      <c r="L1" s="3"/>
      <c r="M1" s="3"/>
      <c r="N1" s="3"/>
      <c r="O1" s="3"/>
      <c r="P1" s="3"/>
      <c r="Q1" s="3"/>
      <c r="R1" s="3"/>
      <c r="S1" s="3"/>
      <c r="T1" s="3"/>
      <c r="U1" s="3"/>
      <c r="V1" s="3"/>
      <c r="W1" s="3"/>
      <c r="X1" s="3"/>
      <c r="Y1" s="3"/>
      <c r="Z1" s="3"/>
    </row>
    <row r="2" ht="180.0" customHeight="1">
      <c r="A2" s="10" t="s">
        <v>48</v>
      </c>
      <c r="I2" s="11"/>
      <c r="J2" s="11"/>
      <c r="K2" s="11"/>
      <c r="L2" s="3"/>
      <c r="M2" s="3"/>
      <c r="N2" s="3"/>
      <c r="O2" s="3"/>
      <c r="P2" s="3"/>
      <c r="Q2" s="3"/>
      <c r="R2" s="3"/>
      <c r="S2" s="3"/>
      <c r="T2" s="3"/>
      <c r="U2" s="3"/>
      <c r="V2" s="3"/>
      <c r="W2" s="3"/>
      <c r="X2" s="3"/>
      <c r="Y2" s="3"/>
      <c r="Z2" s="3"/>
    </row>
    <row r="3" ht="33.7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5"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9</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42.0" customHeight="1">
      <c r="A12" s="26" t="s">
        <v>49</v>
      </c>
      <c r="B12" s="26" t="s">
        <v>50</v>
      </c>
      <c r="C12" s="27"/>
      <c r="D12" s="27"/>
      <c r="E12" s="27"/>
      <c r="F12" s="27"/>
      <c r="G12" s="27"/>
      <c r="H12" s="27"/>
      <c r="I12" s="3"/>
      <c r="J12" s="3"/>
      <c r="K12" s="3"/>
      <c r="L12" s="3"/>
      <c r="M12" s="3"/>
      <c r="N12" s="3"/>
      <c r="O12" s="3"/>
      <c r="P12" s="3"/>
      <c r="Q12" s="3"/>
      <c r="R12" s="3"/>
      <c r="S12" s="3"/>
      <c r="T12" s="3"/>
      <c r="U12" s="3"/>
      <c r="V12" s="3"/>
      <c r="W12" s="3"/>
      <c r="X12" s="3"/>
      <c r="Y12" s="3"/>
      <c r="Z12" s="3"/>
    </row>
    <row r="13" ht="24.75" customHeight="1">
      <c r="A13" s="12"/>
      <c r="B13" s="12"/>
      <c r="C13" s="12"/>
      <c r="D13" s="12"/>
      <c r="E13" s="30" t="s">
        <v>33</v>
      </c>
      <c r="F13" s="31"/>
      <c r="G13" s="5" t="s">
        <v>34</v>
      </c>
      <c r="H13" s="32" t="str">
        <f>IF(AND(OR(F12="X",H12= "X")), "X", "")</f>
        <v/>
      </c>
      <c r="I13" s="3"/>
      <c r="J13" s="3"/>
      <c r="K13" s="3"/>
      <c r="L13" s="3"/>
      <c r="M13" s="3"/>
      <c r="N13" s="3"/>
      <c r="O13" s="3"/>
      <c r="P13" s="3"/>
      <c r="Q13" s="3"/>
      <c r="R13" s="3"/>
      <c r="S13" s="3"/>
      <c r="T13" s="3"/>
      <c r="U13" s="3"/>
      <c r="V13" s="3"/>
      <c r="W13" s="3"/>
      <c r="X13" s="3"/>
      <c r="Y13" s="3"/>
      <c r="Z13" s="3"/>
    </row>
    <row r="14" ht="25.5" customHeight="1">
      <c r="A14" s="12"/>
      <c r="B14" s="12"/>
      <c r="C14" s="12"/>
      <c r="D14" s="12"/>
      <c r="E14" s="33"/>
      <c r="F14" s="34"/>
      <c r="G14" s="5" t="s">
        <v>35</v>
      </c>
      <c r="H14" s="32" t="str">
        <f>IF(OR( G12="x"), "X", "")</f>
        <v/>
      </c>
      <c r="I14" s="3"/>
      <c r="J14" s="3"/>
      <c r="K14" s="3"/>
      <c r="L14" s="3"/>
      <c r="M14" s="3"/>
      <c r="N14" s="3"/>
      <c r="O14" s="3"/>
      <c r="P14" s="3"/>
      <c r="Q14" s="3"/>
      <c r="R14" s="3"/>
      <c r="S14" s="3"/>
      <c r="T14" s="3"/>
      <c r="U14" s="3"/>
      <c r="V14" s="3"/>
      <c r="W14" s="3"/>
      <c r="X14" s="3"/>
      <c r="Y14" s="3"/>
      <c r="Z14" s="3"/>
    </row>
    <row r="15" ht="34.5" customHeight="1">
      <c r="A15" s="12"/>
      <c r="B15" s="12"/>
      <c r="C15" s="12"/>
      <c r="D15" s="12"/>
      <c r="E15" s="12"/>
      <c r="F15" s="15"/>
      <c r="G15" s="15"/>
      <c r="H15" s="12"/>
      <c r="I15" s="3"/>
      <c r="J15" s="3"/>
      <c r="K15" s="3"/>
      <c r="L15" s="3"/>
      <c r="M15" s="3"/>
      <c r="N15" s="3"/>
      <c r="O15" s="3"/>
      <c r="P15" s="3"/>
      <c r="Q15" s="3"/>
      <c r="R15" s="3"/>
      <c r="S15" s="3"/>
      <c r="T15" s="3"/>
      <c r="U15" s="3"/>
      <c r="V15" s="3"/>
      <c r="W15" s="3"/>
      <c r="X15" s="3"/>
      <c r="Y15" s="3"/>
      <c r="Z15" s="3"/>
    </row>
    <row r="16" ht="34.5" customHeight="1">
      <c r="A16" s="42" t="s">
        <v>36</v>
      </c>
      <c r="B16" s="12"/>
      <c r="C16" s="12"/>
      <c r="D16" s="12"/>
      <c r="E16" s="12"/>
      <c r="F16" s="12"/>
      <c r="G16" s="12"/>
      <c r="H16" s="12"/>
      <c r="I16" s="3"/>
      <c r="J16" s="3"/>
      <c r="K16" s="3"/>
      <c r="L16" s="3"/>
      <c r="M16" s="3"/>
      <c r="N16" s="3"/>
      <c r="O16" s="3"/>
      <c r="P16" s="3"/>
      <c r="Q16" s="3"/>
      <c r="R16" s="3"/>
      <c r="S16" s="3"/>
      <c r="T16" s="3"/>
      <c r="U16" s="3"/>
      <c r="V16" s="3"/>
      <c r="W16" s="3"/>
      <c r="X16" s="3"/>
      <c r="Y16" s="3"/>
      <c r="Z16" s="3"/>
    </row>
    <row r="17" ht="34.5" customHeight="1">
      <c r="A17" s="36"/>
      <c r="B17" s="37"/>
      <c r="C17" s="37"/>
      <c r="D17" s="37"/>
      <c r="E17" s="37"/>
      <c r="F17" s="37"/>
      <c r="G17" s="37"/>
      <c r="H17" s="31"/>
      <c r="I17" s="3"/>
      <c r="J17" s="3"/>
      <c r="K17" s="3"/>
      <c r="L17" s="3"/>
      <c r="M17" s="3"/>
      <c r="N17" s="3"/>
      <c r="O17" s="3"/>
      <c r="P17" s="3"/>
      <c r="Q17" s="3"/>
      <c r="R17" s="3"/>
      <c r="S17" s="3"/>
      <c r="T17" s="3"/>
      <c r="U17" s="3"/>
      <c r="V17" s="3"/>
      <c r="W17" s="3"/>
      <c r="X17" s="3"/>
      <c r="Y17" s="3"/>
      <c r="Z17" s="3"/>
    </row>
    <row r="18" ht="34.5" customHeight="1">
      <c r="A18" s="38"/>
      <c r="H18" s="39"/>
      <c r="I18" s="3"/>
      <c r="J18" s="3"/>
      <c r="K18" s="3"/>
      <c r="L18" s="3"/>
      <c r="M18" s="3"/>
      <c r="N18" s="3"/>
      <c r="O18" s="3"/>
      <c r="P18" s="3"/>
      <c r="Q18" s="3"/>
      <c r="R18" s="3"/>
      <c r="S18" s="3"/>
      <c r="T18" s="3"/>
      <c r="U18" s="3"/>
      <c r="V18" s="3"/>
      <c r="W18" s="3"/>
      <c r="X18" s="3"/>
      <c r="Y18" s="3"/>
      <c r="Z18" s="3"/>
    </row>
    <row r="19" ht="34.5" customHeight="1">
      <c r="A19" s="33"/>
      <c r="B19" s="40"/>
      <c r="C19" s="40"/>
      <c r="D19" s="40"/>
      <c r="E19" s="40"/>
      <c r="F19" s="40"/>
      <c r="G19" s="40"/>
      <c r="H19" s="34"/>
      <c r="I19" s="3"/>
      <c r="J19" s="3"/>
      <c r="K19" s="3"/>
      <c r="L19" s="3"/>
      <c r="M19" s="3"/>
      <c r="N19" s="3"/>
      <c r="O19" s="3"/>
      <c r="P19" s="3"/>
      <c r="Q19" s="3"/>
      <c r="R19" s="3"/>
      <c r="S19" s="3"/>
      <c r="T19" s="3"/>
      <c r="U19" s="3"/>
      <c r="V19" s="3"/>
      <c r="W19" s="3"/>
      <c r="X19" s="3"/>
      <c r="Y19" s="3"/>
      <c r="Z19" s="3"/>
    </row>
    <row r="20" ht="34.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4.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34.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4.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34.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34.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4.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4.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4.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4.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A1:H1"/>
    <mergeCell ref="A2:H2"/>
    <mergeCell ref="A10:A11"/>
    <mergeCell ref="B10:B11"/>
    <mergeCell ref="C10:E10"/>
    <mergeCell ref="F10:H10"/>
    <mergeCell ref="E13:F14"/>
    <mergeCell ref="A17:H19"/>
  </mergeCells>
  <conditionalFormatting sqref="A17:H19 B4:B5 B7">
    <cfRule type="containsBlanks" dxfId="0" priority="1">
      <formula>LEN(TRIM(A17))=0</formula>
    </cfRule>
  </conditionalFormatting>
  <conditionalFormatting sqref="C12:H12">
    <cfRule type="containsBlanks" dxfId="0" priority="2">
      <formula>LEN(TRIM(C12))=0</formula>
    </cfRule>
  </conditionalFormatting>
  <conditionalFormatting sqref="H13:H14">
    <cfRule type="containsBlanks" dxfId="0" priority="3">
      <formula>LEN(TRIM(H13))=0</formula>
    </cfRule>
  </conditionalFormatting>
  <dataValidations>
    <dataValidation type="list" allowBlank="1" showErrorMessage="1" sqref="C12:H12">
      <formula1>"X"</formula1>
    </dataValidation>
    <dataValidation type="custom" allowBlank="1" showInputMessage="1" showErrorMessage="1" prompt="Erreur de saisie - Le commentaire est obligatoire. Veuillez remplir cette section" sqref="A17">
      <formula1>GT(LEN(A17),(2))</formula1>
    </dataValidation>
  </dataValidations>
  <printOptions/>
  <pageMargins bottom="0.748031496062992" footer="0.0" header="0.0" left="0.708661417322835" right="0.708661417322835" top="0.748031496062992"/>
  <pageSetup paperSize="8" scale="50" orientation="landscape"/>
  <headerFooter>
    <oddHeader>&amp;L000000</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37.86"/>
    <col customWidth="1" min="3" max="3" width="37.43"/>
    <col customWidth="1" min="4" max="4" width="33.43"/>
    <col customWidth="1" min="5" max="5" width="25.43"/>
    <col customWidth="1" min="6" max="26" width="21.43"/>
  </cols>
  <sheetData>
    <row r="1" ht="84.0" customHeight="1">
      <c r="A1" s="6" t="s">
        <v>2</v>
      </c>
      <c r="B1" s="7"/>
      <c r="C1" s="7"/>
      <c r="D1" s="7"/>
      <c r="E1" s="7"/>
      <c r="F1" s="7"/>
      <c r="G1" s="7"/>
      <c r="H1" s="7"/>
      <c r="I1" s="8"/>
      <c r="J1" s="9"/>
      <c r="K1" s="9"/>
      <c r="L1" s="9"/>
      <c r="M1" s="3"/>
      <c r="N1" s="3"/>
      <c r="O1" s="3"/>
      <c r="P1" s="3"/>
      <c r="Q1" s="3"/>
      <c r="R1" s="3"/>
      <c r="S1" s="3"/>
      <c r="T1" s="3"/>
      <c r="U1" s="3"/>
      <c r="V1" s="3"/>
      <c r="W1" s="3"/>
      <c r="X1" s="3"/>
      <c r="Y1" s="3"/>
      <c r="Z1" s="3"/>
    </row>
    <row r="2" ht="38.25" customHeight="1">
      <c r="A2" s="43" t="s">
        <v>51</v>
      </c>
      <c r="B2" s="7"/>
      <c r="C2" s="7"/>
      <c r="D2" s="7"/>
      <c r="E2" s="7"/>
      <c r="F2" s="7"/>
      <c r="G2" s="7"/>
      <c r="H2" s="7"/>
      <c r="I2" s="8"/>
      <c r="J2" s="11"/>
      <c r="K2" s="11"/>
      <c r="L2" s="11"/>
      <c r="M2" s="3"/>
      <c r="N2" s="3"/>
      <c r="O2" s="3"/>
      <c r="P2" s="3"/>
      <c r="Q2" s="3"/>
      <c r="R2" s="3"/>
      <c r="S2" s="3"/>
      <c r="T2" s="3"/>
      <c r="U2" s="3"/>
      <c r="V2" s="3"/>
      <c r="W2" s="3"/>
      <c r="X2" s="3"/>
      <c r="Y2" s="3"/>
      <c r="Z2" s="3"/>
    </row>
    <row r="3" ht="41.25" customHeight="1">
      <c r="A3" s="12"/>
      <c r="B3" s="12"/>
      <c r="C3" s="12"/>
      <c r="D3" s="12"/>
      <c r="E3" s="12"/>
      <c r="F3" s="12"/>
      <c r="G3" s="12"/>
      <c r="H3" s="12"/>
      <c r="I3" s="12"/>
      <c r="J3" s="3"/>
      <c r="K3" s="3"/>
      <c r="L3" s="3"/>
      <c r="M3" s="3"/>
      <c r="N3" s="3"/>
      <c r="O3" s="3"/>
      <c r="P3" s="3"/>
      <c r="Q3" s="3"/>
      <c r="R3" s="3"/>
      <c r="S3" s="3"/>
      <c r="T3" s="3"/>
      <c r="U3" s="3"/>
      <c r="V3" s="3"/>
      <c r="W3" s="3"/>
      <c r="X3" s="3"/>
      <c r="Y3" s="3"/>
      <c r="Z3" s="3"/>
    </row>
    <row r="4" ht="41.25" customHeight="1">
      <c r="A4" s="13" t="s">
        <v>5</v>
      </c>
      <c r="B4" s="5" t="str">
        <f>IF(NOMPRENOM="", "", NOMPRENOM)</f>
        <v/>
      </c>
      <c r="C4" s="12"/>
      <c r="D4" s="15"/>
      <c r="E4" s="12"/>
      <c r="F4" s="12"/>
      <c r="G4" s="12"/>
      <c r="H4" s="12"/>
      <c r="I4" s="12"/>
      <c r="J4" s="3"/>
      <c r="K4" s="3"/>
      <c r="L4" s="3"/>
      <c r="M4" s="3"/>
      <c r="N4" s="3"/>
      <c r="O4" s="3"/>
      <c r="P4" s="3"/>
      <c r="Q4" s="3"/>
      <c r="R4" s="3"/>
      <c r="S4" s="3"/>
      <c r="T4" s="3"/>
      <c r="U4" s="3"/>
      <c r="V4" s="3"/>
      <c r="W4" s="3"/>
      <c r="X4" s="3"/>
      <c r="Y4" s="3"/>
      <c r="Z4" s="3"/>
    </row>
    <row r="5" ht="41.25" customHeight="1">
      <c r="A5" s="3"/>
      <c r="B5" s="3"/>
      <c r="C5" s="3"/>
      <c r="D5" s="3"/>
      <c r="E5" s="3"/>
      <c r="F5" s="3"/>
      <c r="G5" s="3"/>
      <c r="H5" s="3"/>
      <c r="I5" s="3"/>
      <c r="J5" s="3"/>
      <c r="K5" s="3"/>
      <c r="L5" s="3"/>
      <c r="M5" s="3"/>
      <c r="N5" s="3"/>
      <c r="O5" s="3"/>
      <c r="P5" s="3"/>
      <c r="Q5" s="3"/>
      <c r="R5" s="3"/>
      <c r="S5" s="3"/>
      <c r="T5" s="3"/>
      <c r="U5" s="3"/>
      <c r="V5" s="3"/>
      <c r="W5" s="3"/>
      <c r="X5" s="3"/>
      <c r="Y5" s="3"/>
      <c r="Z5" s="3"/>
    </row>
    <row r="6" ht="41.25" customHeight="1">
      <c r="A6" s="44"/>
      <c r="B6" s="44"/>
      <c r="C6" s="44"/>
      <c r="D6" s="44"/>
      <c r="E6" s="3"/>
      <c r="F6" s="3"/>
      <c r="G6" s="3"/>
      <c r="H6" s="3"/>
      <c r="I6" s="3"/>
      <c r="J6" s="3"/>
      <c r="K6" s="3"/>
      <c r="L6" s="3"/>
      <c r="M6" s="3"/>
      <c r="N6" s="3"/>
      <c r="O6" s="3"/>
      <c r="P6" s="3"/>
      <c r="Q6" s="3"/>
      <c r="R6" s="3"/>
      <c r="S6" s="3"/>
      <c r="T6" s="3"/>
      <c r="U6" s="3"/>
      <c r="V6" s="3"/>
      <c r="W6" s="3"/>
      <c r="X6" s="3"/>
      <c r="Y6" s="3"/>
      <c r="Z6" s="3"/>
    </row>
    <row r="7" ht="41.25" customHeight="1">
      <c r="A7" s="3"/>
      <c r="B7" s="3"/>
      <c r="C7" s="45" t="s">
        <v>52</v>
      </c>
      <c r="D7" s="45" t="s">
        <v>53</v>
      </c>
      <c r="E7" s="3"/>
      <c r="F7" s="3"/>
      <c r="G7" s="3"/>
      <c r="H7" s="3"/>
      <c r="I7" s="3"/>
      <c r="J7" s="3"/>
      <c r="K7" s="3"/>
      <c r="L7" s="3"/>
      <c r="M7" s="3"/>
      <c r="N7" s="3"/>
      <c r="O7" s="3"/>
      <c r="P7" s="3"/>
      <c r="Q7" s="3"/>
      <c r="R7" s="3"/>
      <c r="S7" s="3"/>
      <c r="T7" s="3"/>
      <c r="U7" s="3"/>
      <c r="V7" s="3"/>
      <c r="W7" s="3"/>
      <c r="X7" s="3"/>
      <c r="Y7" s="3"/>
      <c r="Z7" s="3"/>
    </row>
    <row r="8" ht="87.75" customHeight="1">
      <c r="A8" s="46" t="s">
        <v>51</v>
      </c>
      <c r="B8" s="47" t="s">
        <v>54</v>
      </c>
      <c r="C8" s="45" t="str">
        <f>ME1.1_OUI</f>
        <v/>
      </c>
      <c r="D8" s="45" t="str">
        <f>ME1.1_NON</f>
        <v/>
      </c>
      <c r="E8" s="3"/>
      <c r="F8" s="3"/>
      <c r="G8" s="3"/>
      <c r="H8" s="3"/>
      <c r="I8" s="3"/>
      <c r="J8" s="3"/>
      <c r="K8" s="3"/>
      <c r="L8" s="3"/>
      <c r="M8" s="3"/>
      <c r="N8" s="3"/>
      <c r="O8" s="3"/>
      <c r="P8" s="3"/>
      <c r="Q8" s="3"/>
      <c r="R8" s="3"/>
      <c r="S8" s="3"/>
      <c r="T8" s="3"/>
      <c r="U8" s="3"/>
      <c r="V8" s="3"/>
      <c r="W8" s="3"/>
      <c r="X8" s="3"/>
      <c r="Y8" s="3"/>
      <c r="Z8" s="3"/>
    </row>
    <row r="9" ht="87.75" customHeight="1">
      <c r="A9" s="29"/>
      <c r="B9" s="47" t="s">
        <v>55</v>
      </c>
      <c r="C9" s="45" t="str">
        <f>ME1.2_OUI</f>
        <v/>
      </c>
      <c r="D9" s="45" t="str">
        <f>ME1.1_NON</f>
        <v/>
      </c>
      <c r="E9" s="3"/>
      <c r="F9" s="3"/>
      <c r="G9" s="3"/>
      <c r="H9" s="3"/>
      <c r="I9" s="3"/>
      <c r="J9" s="3"/>
      <c r="K9" s="3"/>
      <c r="L9" s="3"/>
      <c r="M9" s="3"/>
      <c r="N9" s="3"/>
      <c r="O9" s="3"/>
      <c r="P9" s="3"/>
      <c r="Q9" s="3"/>
      <c r="R9" s="3"/>
      <c r="S9" s="3"/>
      <c r="T9" s="3"/>
      <c r="U9" s="3"/>
      <c r="V9" s="3"/>
      <c r="W9" s="3"/>
      <c r="X9" s="3"/>
      <c r="Y9" s="3"/>
      <c r="Z9" s="3"/>
    </row>
    <row r="10" ht="87.75" customHeight="1">
      <c r="A10" s="22"/>
      <c r="B10" s="47" t="s">
        <v>56</v>
      </c>
      <c r="C10" s="45" t="str">
        <f>ME1.3_OUI</f>
        <v/>
      </c>
      <c r="D10" s="45" t="str">
        <f>ME1.3_NON</f>
        <v/>
      </c>
      <c r="E10" s="3"/>
      <c r="F10" s="3"/>
      <c r="G10" s="3"/>
      <c r="H10" s="3"/>
      <c r="I10" s="3"/>
      <c r="J10" s="3"/>
      <c r="K10" s="3"/>
      <c r="L10" s="3"/>
      <c r="M10" s="3"/>
      <c r="N10" s="3"/>
      <c r="O10" s="3"/>
      <c r="P10" s="3"/>
      <c r="Q10" s="3"/>
      <c r="R10" s="3"/>
      <c r="S10" s="3"/>
      <c r="T10" s="3"/>
      <c r="U10" s="3"/>
      <c r="V10" s="3"/>
      <c r="W10" s="3"/>
      <c r="X10" s="3"/>
      <c r="Y10" s="3"/>
      <c r="Z10" s="3"/>
    </row>
    <row r="11" ht="41.25" customHeight="1">
      <c r="A11" s="48"/>
      <c r="B11" s="49"/>
      <c r="C11" s="50"/>
      <c r="D11" s="50"/>
      <c r="E11" s="3"/>
      <c r="F11" s="3"/>
      <c r="G11" s="3"/>
      <c r="H11" s="3"/>
      <c r="I11" s="3"/>
      <c r="J11" s="3"/>
      <c r="K11" s="3"/>
      <c r="L11" s="3"/>
      <c r="M11" s="3"/>
      <c r="N11" s="3"/>
      <c r="O11" s="3"/>
      <c r="P11" s="3"/>
      <c r="Q11" s="3"/>
      <c r="R11" s="3"/>
      <c r="S11" s="3"/>
      <c r="T11" s="3"/>
      <c r="U11" s="3"/>
      <c r="V11" s="3"/>
      <c r="W11" s="3"/>
      <c r="X11" s="3"/>
      <c r="Y11" s="3"/>
      <c r="Z11" s="3"/>
    </row>
    <row r="12" ht="41.25" customHeight="1">
      <c r="A12" s="12"/>
      <c r="B12" s="49"/>
      <c r="C12" s="17"/>
      <c r="D12" s="3"/>
      <c r="E12" s="3"/>
      <c r="F12" s="3"/>
      <c r="G12" s="3"/>
      <c r="H12" s="3"/>
      <c r="I12" s="3"/>
      <c r="J12" s="3"/>
      <c r="K12" s="3"/>
      <c r="L12" s="3"/>
      <c r="M12" s="3"/>
      <c r="N12" s="3"/>
      <c r="O12" s="3"/>
      <c r="P12" s="3"/>
      <c r="Q12" s="3"/>
      <c r="R12" s="3"/>
      <c r="S12" s="3"/>
      <c r="T12" s="3"/>
      <c r="U12" s="3"/>
      <c r="V12" s="3"/>
      <c r="W12" s="3"/>
      <c r="X12" s="3"/>
      <c r="Y12" s="3"/>
      <c r="Z12" s="3"/>
    </row>
    <row r="13" ht="41.25" customHeight="1">
      <c r="A13" s="5" t="s">
        <v>57</v>
      </c>
      <c r="B13" s="12"/>
      <c r="C13" s="12"/>
      <c r="D13" s="12"/>
      <c r="E13" s="12"/>
      <c r="F13" s="12"/>
      <c r="G13" s="12"/>
      <c r="H13" s="12"/>
      <c r="I13" s="12"/>
      <c r="J13" s="3"/>
      <c r="K13" s="3"/>
      <c r="L13" s="3"/>
      <c r="M13" s="3"/>
      <c r="N13" s="3"/>
      <c r="O13" s="3"/>
      <c r="P13" s="3"/>
      <c r="Q13" s="3"/>
      <c r="R13" s="3"/>
      <c r="S13" s="3"/>
      <c r="T13" s="3"/>
      <c r="U13" s="3"/>
      <c r="V13" s="3"/>
      <c r="W13" s="3"/>
      <c r="X13" s="3"/>
      <c r="Y13" s="3"/>
      <c r="Z13" s="3"/>
    </row>
    <row r="14" ht="41.25" customHeight="1">
      <c r="A14" s="51"/>
      <c r="B14" s="52"/>
      <c r="C14" s="52"/>
      <c r="D14" s="52"/>
      <c r="E14" s="52"/>
      <c r="F14" s="52"/>
      <c r="G14" s="52"/>
      <c r="H14" s="52"/>
      <c r="I14" s="53"/>
      <c r="J14" s="3"/>
      <c r="K14" s="3"/>
      <c r="L14" s="3"/>
      <c r="M14" s="3"/>
      <c r="N14" s="3"/>
      <c r="O14" s="3"/>
      <c r="P14" s="3"/>
      <c r="Q14" s="3"/>
      <c r="R14" s="3"/>
      <c r="S14" s="3"/>
      <c r="T14" s="3"/>
      <c r="U14" s="3"/>
      <c r="V14" s="3"/>
      <c r="W14" s="3"/>
      <c r="X14" s="3"/>
      <c r="Y14" s="3"/>
      <c r="Z14" s="3"/>
    </row>
    <row r="15" ht="41.25" customHeight="1">
      <c r="A15" s="38"/>
      <c r="I15" s="39"/>
      <c r="J15" s="3"/>
      <c r="K15" s="3"/>
      <c r="L15" s="3"/>
      <c r="M15" s="3"/>
      <c r="N15" s="3"/>
      <c r="O15" s="3"/>
      <c r="P15" s="3"/>
      <c r="Q15" s="3"/>
      <c r="R15" s="3"/>
      <c r="S15" s="3"/>
      <c r="T15" s="3"/>
      <c r="U15" s="3"/>
      <c r="V15" s="3"/>
      <c r="W15" s="3"/>
      <c r="X15" s="3"/>
      <c r="Y15" s="3"/>
      <c r="Z15" s="3"/>
    </row>
    <row r="16" ht="41.25" customHeight="1">
      <c r="A16" s="38"/>
      <c r="I16" s="39"/>
      <c r="J16" s="3"/>
      <c r="K16" s="3"/>
      <c r="L16" s="3"/>
      <c r="M16" s="3"/>
      <c r="N16" s="3"/>
      <c r="O16" s="3"/>
      <c r="P16" s="3"/>
      <c r="Q16" s="3"/>
      <c r="R16" s="3"/>
      <c r="S16" s="3"/>
      <c r="T16" s="3"/>
      <c r="U16" s="3"/>
      <c r="V16" s="3"/>
      <c r="W16" s="3"/>
      <c r="X16" s="3"/>
      <c r="Y16" s="3"/>
      <c r="Z16" s="3"/>
    </row>
    <row r="17" ht="41.25" customHeight="1">
      <c r="A17" s="33"/>
      <c r="B17" s="40"/>
      <c r="C17" s="40"/>
      <c r="D17" s="40"/>
      <c r="E17" s="40"/>
      <c r="F17" s="40"/>
      <c r="G17" s="40"/>
      <c r="H17" s="40"/>
      <c r="I17" s="34"/>
      <c r="J17" s="3"/>
      <c r="K17" s="3"/>
      <c r="L17" s="3"/>
      <c r="M17" s="3"/>
      <c r="N17" s="3"/>
      <c r="O17" s="3"/>
      <c r="P17" s="3"/>
      <c r="Q17" s="3"/>
      <c r="R17" s="3"/>
      <c r="S17" s="3"/>
      <c r="T17" s="3"/>
      <c r="U17" s="3"/>
      <c r="V17" s="3"/>
      <c r="W17" s="3"/>
      <c r="X17" s="3"/>
      <c r="Y17" s="3"/>
      <c r="Z17" s="3"/>
    </row>
    <row r="18" ht="41.25" customHeight="1">
      <c r="A18" s="12"/>
      <c r="B18" s="49"/>
      <c r="C18" s="17"/>
      <c r="D18" s="3"/>
      <c r="E18" s="3"/>
      <c r="F18" s="3"/>
      <c r="G18" s="3"/>
      <c r="H18" s="3"/>
      <c r="I18" s="3"/>
      <c r="J18" s="3"/>
      <c r="K18" s="3"/>
      <c r="L18" s="3"/>
      <c r="M18" s="3"/>
      <c r="N18" s="3"/>
      <c r="O18" s="3"/>
      <c r="P18" s="3"/>
      <c r="Q18" s="3"/>
      <c r="R18" s="3"/>
      <c r="S18" s="3"/>
      <c r="T18" s="3"/>
      <c r="U18" s="3"/>
      <c r="V18" s="3"/>
      <c r="W18" s="3"/>
      <c r="X18" s="3"/>
      <c r="Y18" s="3"/>
      <c r="Z18" s="3"/>
    </row>
    <row r="19" ht="41.25" customHeight="1">
      <c r="A19" s="12"/>
      <c r="B19" s="49"/>
      <c r="C19" s="17"/>
      <c r="D19" s="3"/>
      <c r="E19" s="3"/>
      <c r="F19" s="3"/>
      <c r="G19" s="3"/>
      <c r="H19" s="3"/>
      <c r="I19" s="3"/>
      <c r="J19" s="3"/>
      <c r="K19" s="3"/>
      <c r="L19" s="3"/>
      <c r="M19" s="3"/>
      <c r="N19" s="3"/>
      <c r="O19" s="3"/>
      <c r="P19" s="3"/>
      <c r="Q19" s="3"/>
      <c r="R19" s="3"/>
      <c r="S19" s="3"/>
      <c r="T19" s="3"/>
      <c r="U19" s="3"/>
      <c r="V19" s="3"/>
      <c r="W19" s="3"/>
      <c r="X19" s="3"/>
      <c r="Y19" s="3"/>
      <c r="Z19" s="3"/>
    </row>
    <row r="20" ht="41.25" customHeight="1">
      <c r="A20" s="12"/>
      <c r="B20" s="49"/>
      <c r="C20" s="17"/>
      <c r="D20" s="3"/>
      <c r="E20" s="3"/>
      <c r="F20" s="3"/>
      <c r="G20" s="3"/>
      <c r="H20" s="3"/>
      <c r="I20" s="3"/>
      <c r="J20" s="3"/>
      <c r="K20" s="3"/>
      <c r="L20" s="3"/>
      <c r="M20" s="3"/>
      <c r="N20" s="3"/>
      <c r="O20" s="3"/>
      <c r="P20" s="3"/>
      <c r="Q20" s="3"/>
      <c r="R20" s="3"/>
      <c r="S20" s="3"/>
      <c r="T20" s="3"/>
      <c r="U20" s="3"/>
      <c r="V20" s="3"/>
      <c r="W20" s="3"/>
      <c r="X20" s="3"/>
      <c r="Y20" s="3"/>
      <c r="Z20" s="3"/>
    </row>
    <row r="21" ht="41.25" customHeight="1">
      <c r="A21" s="54" t="s">
        <v>58</v>
      </c>
      <c r="B21" s="21"/>
      <c r="C21" s="21"/>
      <c r="D21" s="21"/>
      <c r="E21" s="21"/>
      <c r="F21" s="21"/>
      <c r="G21" s="21"/>
      <c r="H21" s="21"/>
      <c r="I21" s="2"/>
      <c r="J21" s="3"/>
      <c r="K21" s="3"/>
      <c r="L21" s="3"/>
      <c r="M21" s="3"/>
      <c r="N21" s="3"/>
      <c r="O21" s="3"/>
      <c r="P21" s="3"/>
      <c r="Q21" s="3"/>
      <c r="R21" s="3"/>
      <c r="S21" s="3"/>
      <c r="T21" s="3"/>
      <c r="U21" s="3"/>
      <c r="V21" s="3"/>
      <c r="W21" s="3"/>
      <c r="X21" s="3"/>
      <c r="Y21" s="3"/>
      <c r="Z21" s="3"/>
    </row>
    <row r="22" ht="39.0"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9.0" customHeight="1">
      <c r="A23" s="55" t="s">
        <v>59</v>
      </c>
      <c r="B23" s="5"/>
      <c r="C23" s="17"/>
      <c r="D23" s="3"/>
      <c r="E23" s="3"/>
      <c r="F23" s="3"/>
      <c r="G23" s="3"/>
      <c r="H23" s="3"/>
      <c r="I23" s="3"/>
      <c r="J23" s="3"/>
      <c r="K23" s="3"/>
      <c r="L23" s="3"/>
      <c r="M23" s="3"/>
      <c r="N23" s="3"/>
      <c r="O23" s="3"/>
      <c r="P23" s="3"/>
      <c r="Q23" s="3"/>
      <c r="R23" s="3"/>
      <c r="S23" s="3"/>
      <c r="T23" s="3"/>
      <c r="U23" s="3"/>
      <c r="V23" s="3"/>
      <c r="W23" s="3"/>
      <c r="X23" s="3"/>
      <c r="Y23" s="3"/>
      <c r="Z23" s="3"/>
    </row>
    <row r="24" ht="39.0" customHeight="1">
      <c r="A24" s="12"/>
      <c r="B24" s="49"/>
      <c r="C24" s="17"/>
      <c r="D24" s="3"/>
      <c r="E24" s="3"/>
      <c r="F24" s="3"/>
      <c r="G24" s="3"/>
      <c r="H24" s="3"/>
      <c r="I24" s="3"/>
      <c r="J24" s="3"/>
      <c r="K24" s="3"/>
      <c r="L24" s="3"/>
      <c r="M24" s="3"/>
      <c r="N24" s="3"/>
      <c r="O24" s="3"/>
      <c r="P24" s="3"/>
      <c r="Q24" s="3"/>
      <c r="R24" s="3"/>
      <c r="S24" s="3"/>
      <c r="T24" s="3"/>
      <c r="U24" s="3"/>
      <c r="V24" s="3"/>
      <c r="W24" s="3"/>
      <c r="X24" s="3"/>
      <c r="Y24" s="3"/>
      <c r="Z24" s="3"/>
    </row>
    <row r="25" ht="39.0" customHeight="1">
      <c r="A25" s="56" t="s">
        <v>60</v>
      </c>
      <c r="B25" s="5" t="s">
        <v>34</v>
      </c>
      <c r="C25" s="45"/>
      <c r="D25" s="3"/>
      <c r="E25" s="3"/>
      <c r="F25" s="3"/>
      <c r="G25" s="3"/>
      <c r="H25" s="3"/>
      <c r="I25" s="3"/>
      <c r="J25" s="3"/>
      <c r="K25" s="3"/>
      <c r="L25" s="3"/>
      <c r="M25" s="3"/>
      <c r="N25" s="3"/>
      <c r="O25" s="3"/>
      <c r="P25" s="3"/>
      <c r="Q25" s="3"/>
      <c r="R25" s="3"/>
      <c r="S25" s="3"/>
      <c r="T25" s="3"/>
      <c r="U25" s="3"/>
      <c r="V25" s="3"/>
      <c r="W25" s="3"/>
      <c r="X25" s="3"/>
      <c r="Y25" s="3"/>
      <c r="Z25" s="3"/>
    </row>
    <row r="26" ht="39.0" customHeight="1">
      <c r="A26" s="22"/>
      <c r="B26" s="5" t="s">
        <v>35</v>
      </c>
      <c r="C26" s="45"/>
      <c r="D26" s="3"/>
      <c r="E26" s="3"/>
      <c r="F26" s="3"/>
      <c r="G26" s="3"/>
      <c r="H26" s="3"/>
      <c r="I26" s="3"/>
      <c r="J26" s="3"/>
      <c r="K26" s="3"/>
      <c r="L26" s="3"/>
      <c r="M26" s="3"/>
      <c r="N26" s="3"/>
      <c r="O26" s="3"/>
      <c r="P26" s="3"/>
      <c r="Q26" s="3"/>
      <c r="R26" s="3"/>
      <c r="S26" s="3"/>
      <c r="T26" s="3"/>
      <c r="U26" s="3"/>
      <c r="V26" s="3"/>
      <c r="W26" s="3"/>
      <c r="X26" s="3"/>
      <c r="Y26" s="3"/>
      <c r="Z26" s="3"/>
    </row>
    <row r="27" ht="39.0" customHeight="1">
      <c r="A27" s="12"/>
      <c r="B27" s="12"/>
      <c r="C27" s="12"/>
      <c r="D27" s="3"/>
      <c r="E27" s="3"/>
      <c r="F27" s="3"/>
      <c r="G27" s="3"/>
      <c r="H27" s="3"/>
      <c r="I27" s="3"/>
      <c r="J27" s="3"/>
      <c r="K27" s="3"/>
      <c r="L27" s="3"/>
      <c r="M27" s="3"/>
      <c r="N27" s="3"/>
      <c r="O27" s="3"/>
      <c r="P27" s="3"/>
      <c r="Q27" s="3"/>
      <c r="R27" s="3"/>
      <c r="S27" s="3"/>
      <c r="T27" s="3"/>
      <c r="U27" s="3"/>
      <c r="V27" s="3"/>
      <c r="W27" s="3"/>
      <c r="X27" s="3"/>
      <c r="Y27" s="3"/>
      <c r="Z27" s="3"/>
    </row>
    <row r="28" ht="39.0" customHeight="1">
      <c r="A28" s="12"/>
      <c r="B28" s="12"/>
      <c r="C28" s="12"/>
      <c r="D28" s="3"/>
      <c r="E28" s="3"/>
      <c r="F28" s="3"/>
      <c r="G28" s="3"/>
      <c r="H28" s="3"/>
      <c r="I28" s="3"/>
      <c r="J28" s="3"/>
      <c r="K28" s="3"/>
      <c r="L28" s="3"/>
      <c r="M28" s="3"/>
      <c r="N28" s="3"/>
      <c r="O28" s="3"/>
      <c r="P28" s="3"/>
      <c r="Q28" s="3"/>
      <c r="R28" s="3"/>
      <c r="S28" s="3"/>
      <c r="T28" s="3"/>
      <c r="U28" s="3"/>
      <c r="V28" s="3"/>
      <c r="W28" s="3"/>
      <c r="X28" s="3"/>
      <c r="Y28" s="3"/>
      <c r="Z28" s="3"/>
    </row>
    <row r="29" ht="39.0" customHeight="1">
      <c r="A29" s="5" t="s">
        <v>61</v>
      </c>
      <c r="B29" s="12"/>
      <c r="C29" s="12"/>
      <c r="D29" s="3"/>
      <c r="E29" s="3"/>
      <c r="F29" s="3"/>
      <c r="G29" s="3"/>
      <c r="H29" s="3"/>
      <c r="I29" s="3"/>
      <c r="J29" s="3"/>
      <c r="K29" s="3"/>
      <c r="L29" s="3"/>
      <c r="M29" s="3"/>
      <c r="N29" s="3"/>
      <c r="O29" s="3"/>
      <c r="P29" s="3"/>
      <c r="Q29" s="3"/>
      <c r="R29" s="3"/>
      <c r="S29" s="3"/>
      <c r="T29" s="3"/>
      <c r="U29" s="3"/>
      <c r="V29" s="3"/>
      <c r="W29" s="3"/>
      <c r="X29" s="3"/>
      <c r="Y29" s="3"/>
      <c r="Z29" s="3"/>
    </row>
    <row r="30" ht="39.0" customHeight="1">
      <c r="A30" s="57"/>
      <c r="B30" s="37"/>
      <c r="C30" s="37"/>
      <c r="D30" s="37"/>
      <c r="E30" s="37"/>
      <c r="F30" s="37"/>
      <c r="G30" s="37"/>
      <c r="H30" s="37"/>
      <c r="I30" s="31"/>
      <c r="J30" s="3"/>
      <c r="K30" s="3"/>
      <c r="L30" s="3"/>
      <c r="M30" s="3"/>
      <c r="N30" s="3"/>
      <c r="O30" s="3"/>
      <c r="P30" s="3"/>
      <c r="Q30" s="3"/>
      <c r="R30" s="3"/>
      <c r="S30" s="3"/>
      <c r="T30" s="3"/>
      <c r="U30" s="3"/>
      <c r="V30" s="3"/>
      <c r="W30" s="3"/>
      <c r="X30" s="3"/>
      <c r="Y30" s="3"/>
      <c r="Z30" s="3"/>
    </row>
    <row r="31" ht="39.0" customHeight="1">
      <c r="A31" s="38"/>
      <c r="I31" s="39"/>
      <c r="J31" s="3"/>
      <c r="K31" s="3"/>
      <c r="L31" s="3"/>
      <c r="M31" s="3"/>
      <c r="N31" s="3"/>
      <c r="O31" s="3"/>
      <c r="P31" s="3"/>
      <c r="Q31" s="3"/>
      <c r="R31" s="3"/>
      <c r="S31" s="3"/>
      <c r="T31" s="3"/>
      <c r="U31" s="3"/>
      <c r="V31" s="3"/>
      <c r="W31" s="3"/>
      <c r="X31" s="3"/>
      <c r="Y31" s="3"/>
      <c r="Z31" s="3"/>
    </row>
    <row r="32" ht="39.0" customHeight="1">
      <c r="A32" s="38"/>
      <c r="I32" s="39"/>
      <c r="J32" s="3"/>
      <c r="K32" s="3"/>
      <c r="L32" s="3"/>
      <c r="M32" s="3"/>
      <c r="N32" s="3"/>
      <c r="O32" s="3"/>
      <c r="P32" s="3"/>
      <c r="Q32" s="3"/>
      <c r="R32" s="3"/>
      <c r="S32" s="3"/>
      <c r="T32" s="3"/>
      <c r="U32" s="3"/>
      <c r="V32" s="3"/>
      <c r="W32" s="3"/>
      <c r="X32" s="3"/>
      <c r="Y32" s="3"/>
      <c r="Z32" s="3"/>
    </row>
    <row r="33" ht="39.0" customHeight="1">
      <c r="A33" s="33"/>
      <c r="B33" s="40"/>
      <c r="C33" s="40"/>
      <c r="D33" s="40"/>
      <c r="E33" s="40"/>
      <c r="F33" s="40"/>
      <c r="G33" s="40"/>
      <c r="H33" s="40"/>
      <c r="I33" s="34"/>
      <c r="J33" s="3"/>
      <c r="K33" s="3"/>
      <c r="L33" s="3"/>
      <c r="M33" s="3"/>
      <c r="N33" s="3"/>
      <c r="O33" s="3"/>
      <c r="P33" s="3"/>
      <c r="Q33" s="3"/>
      <c r="R33" s="3"/>
      <c r="S33" s="3"/>
      <c r="T33" s="3"/>
      <c r="U33" s="3"/>
      <c r="V33" s="3"/>
      <c r="W33" s="3"/>
      <c r="X33" s="3"/>
      <c r="Y33" s="3"/>
      <c r="Z33" s="3"/>
    </row>
    <row r="34" ht="39.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9.0" customHeight="1">
      <c r="A35" s="5" t="s">
        <v>62</v>
      </c>
      <c r="B35" s="12"/>
      <c r="C35" s="12"/>
      <c r="D35" s="3"/>
      <c r="E35" s="3"/>
      <c r="F35" s="3"/>
      <c r="G35" s="3"/>
      <c r="H35" s="3"/>
      <c r="I35" s="3"/>
      <c r="J35" s="3"/>
      <c r="K35" s="3"/>
      <c r="L35" s="3"/>
      <c r="M35" s="3"/>
      <c r="N35" s="3"/>
      <c r="O35" s="3"/>
      <c r="P35" s="3"/>
      <c r="Q35" s="3"/>
      <c r="R35" s="3"/>
      <c r="S35" s="3"/>
      <c r="T35" s="3"/>
      <c r="U35" s="3"/>
      <c r="V35" s="3"/>
      <c r="W35" s="3"/>
      <c r="X35" s="3"/>
      <c r="Y35" s="3"/>
      <c r="Z35" s="3"/>
    </row>
    <row r="36" ht="39.0" customHeight="1">
      <c r="A36" s="57"/>
      <c r="B36" s="37"/>
      <c r="C36" s="37"/>
      <c r="D36" s="37"/>
      <c r="E36" s="37"/>
      <c r="F36" s="37"/>
      <c r="G36" s="37"/>
      <c r="H36" s="37"/>
      <c r="I36" s="31"/>
      <c r="J36" s="3"/>
      <c r="K36" s="3"/>
      <c r="L36" s="3"/>
      <c r="M36" s="3"/>
      <c r="N36" s="3"/>
      <c r="O36" s="3"/>
      <c r="P36" s="3"/>
      <c r="Q36" s="3"/>
      <c r="R36" s="3"/>
      <c r="S36" s="3"/>
      <c r="T36" s="3"/>
      <c r="U36" s="3"/>
      <c r="V36" s="3"/>
      <c r="W36" s="3"/>
      <c r="X36" s="3"/>
      <c r="Y36" s="3"/>
      <c r="Z36" s="3"/>
    </row>
    <row r="37" ht="39.0" customHeight="1">
      <c r="A37" s="38"/>
      <c r="I37" s="39"/>
      <c r="J37" s="3"/>
      <c r="K37" s="3"/>
      <c r="L37" s="3"/>
      <c r="M37" s="3"/>
      <c r="N37" s="3"/>
      <c r="O37" s="3"/>
      <c r="P37" s="3"/>
      <c r="Q37" s="3"/>
      <c r="R37" s="3"/>
      <c r="S37" s="3"/>
      <c r="T37" s="3"/>
      <c r="U37" s="3"/>
      <c r="V37" s="3"/>
      <c r="W37" s="3"/>
      <c r="X37" s="3"/>
      <c r="Y37" s="3"/>
      <c r="Z37" s="3"/>
    </row>
    <row r="38" ht="39.0" customHeight="1">
      <c r="A38" s="38"/>
      <c r="I38" s="39"/>
      <c r="J38" s="3"/>
      <c r="K38" s="3"/>
      <c r="L38" s="3"/>
      <c r="M38" s="3"/>
      <c r="N38" s="3"/>
      <c r="O38" s="3"/>
      <c r="P38" s="3"/>
      <c r="Q38" s="3"/>
      <c r="R38" s="3"/>
      <c r="S38" s="3"/>
      <c r="T38" s="3"/>
      <c r="U38" s="3"/>
      <c r="V38" s="3"/>
      <c r="W38" s="3"/>
      <c r="X38" s="3"/>
      <c r="Y38" s="3"/>
      <c r="Z38" s="3"/>
    </row>
    <row r="39" ht="39.0" customHeight="1">
      <c r="A39" s="33"/>
      <c r="B39" s="40"/>
      <c r="C39" s="40"/>
      <c r="D39" s="40"/>
      <c r="E39" s="40"/>
      <c r="F39" s="40"/>
      <c r="G39" s="40"/>
      <c r="H39" s="40"/>
      <c r="I39" s="34"/>
      <c r="J39" s="3"/>
      <c r="K39" s="3"/>
      <c r="L39" s="3"/>
      <c r="M39" s="3"/>
      <c r="N39" s="3"/>
      <c r="O39" s="3"/>
      <c r="P39" s="3"/>
      <c r="Q39" s="3"/>
      <c r="R39" s="3"/>
      <c r="S39" s="3"/>
      <c r="T39" s="3"/>
      <c r="U39" s="3"/>
      <c r="V39" s="3"/>
      <c r="W39" s="3"/>
      <c r="X39" s="3"/>
      <c r="Y39" s="3"/>
      <c r="Z39" s="3"/>
    </row>
    <row r="40" ht="39.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9.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9.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9.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9.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9.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9.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9.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9.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9.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9.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9.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9.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9.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9.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9.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9.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9.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9.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9.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9.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9.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9.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9.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9.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9.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9.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9.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9.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9.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9.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9.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9.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9.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9.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9.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9.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9.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9.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9.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9.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9.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9.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9.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9.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9.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9.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9.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9.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9.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9.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9.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9.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9.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9.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9.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9.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9.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9.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9.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9.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9.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9.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9.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9.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9.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9.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9.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9.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9.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9.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9.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9.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9.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9.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9.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9.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9.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9.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9.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9.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9.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9.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9.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9.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9.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9.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9.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9.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9.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9.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9.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9.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9.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9.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9.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9.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9.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9.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9.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9.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9.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9.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9.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9.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9.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9.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9.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9.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9.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9.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9.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9.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9.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9.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9.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9.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9.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9.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9.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9.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9.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9.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9.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9.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9.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9.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9.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9.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9.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9.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9.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9.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9.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9.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9.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9.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9.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9.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9.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9.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9.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9.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9.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9.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9.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9.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9.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9.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9.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9.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9.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9.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9.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9.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9.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9.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9.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9.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9.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9.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9.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9.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9.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9.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9.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9.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9.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9.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9.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9.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9.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9.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9.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9.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9.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9.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9.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9.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9.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9.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9.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9.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9.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9.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9.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9.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9.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9.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9.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9.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9.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9.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9.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9.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9.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9.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9.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9.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9.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9.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9.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9.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9.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9.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9.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9.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9.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9.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9.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9.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9.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9.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9.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9.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9.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9.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9.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9.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9.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9.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9.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9.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9.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9.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9.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9.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9.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9.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9.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9.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9.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9.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9.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9.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9.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9.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9.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9.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9.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9.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9.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9.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9.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9.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9.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9.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9.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9.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9.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9.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9.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9.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9.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9.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9.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9.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9.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9.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9.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9.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9.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9.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9.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9.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9.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9.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9.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9.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9.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9.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9.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9.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9.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9.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9.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9.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9.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9.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9.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9.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9.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9.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9.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9.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9.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9.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9.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9.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9.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9.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9.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9.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9.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9.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9.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9.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9.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9.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9.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9.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9.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9.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9.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9.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9.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9.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9.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9.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9.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9.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9.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9.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9.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9.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9.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9.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9.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9.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9.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9.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9.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9.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9.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9.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9.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9.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9.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9.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9.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9.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9.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9.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9.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9.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9.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9.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9.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9.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9.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9.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9.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9.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9.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9.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9.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9.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9.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9.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9.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9.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9.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9.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9.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9.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9.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9.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9.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9.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9.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9.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9.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9.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9.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9.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9.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9.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9.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9.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9.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9.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9.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9.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9.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9.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9.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9.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9.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9.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9.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9.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9.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9.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9.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9.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9.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9.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9.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9.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9.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9.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9.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9.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9.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9.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9.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9.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9.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9.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9.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9.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9.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9.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9.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9.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9.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9.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9.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9.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9.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9.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9.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9.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9.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9.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9.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9.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9.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9.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9.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9.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9.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9.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9.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9.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9.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9.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9.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9.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9.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9.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9.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9.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9.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9.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9.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9.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9.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9.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9.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9.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9.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9.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9.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9.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9.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9.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9.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9.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9.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9.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9.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9.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9.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9.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9.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9.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9.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9.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9.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9.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9.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9.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9.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9.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9.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9.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9.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9.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9.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9.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9.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9.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9.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9.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9.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9.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9.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9.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9.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9.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9.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9.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9.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9.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9.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9.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9.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9.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9.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9.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9.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9.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9.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9.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9.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9.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9.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9.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9.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9.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9.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9.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9.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9.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9.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9.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9.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9.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9.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9.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9.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9.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9.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9.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9.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9.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9.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9.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9.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9.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9.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9.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9.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9.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9.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9.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9.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9.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9.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9.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9.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9.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9.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9.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9.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9.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9.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9.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9.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9.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9.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9.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9.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9.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9.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9.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9.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9.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9.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9.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9.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9.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9.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9.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9.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9.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9.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9.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9.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9.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9.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9.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9.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9.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9.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9.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9.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9.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9.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9.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9.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9.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9.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9.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9.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9.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9.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9.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9.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9.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9.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9.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9.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9.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9.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9.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9.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9.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9.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9.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9.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9.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9.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9.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9.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9.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9.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9.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9.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9.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9.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9.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9.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9.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9.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9.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9.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9.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9.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9.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9.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9.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9.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9.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9.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9.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9.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9.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9.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9.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9.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9.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9.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9.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9.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9.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9.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9.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9.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9.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9.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9.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9.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9.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9.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9.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9.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9.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9.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9.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9.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9.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9.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9.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9.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9.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9.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9.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9.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9.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9.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9.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9.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9.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9.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9.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9.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9.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9.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9.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9.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9.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9.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9.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9.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9.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9.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9.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9.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9.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9.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9.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9.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9.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9.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9.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9.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9.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9.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9.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9.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9.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9.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9.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9.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9.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9.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9.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9.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9.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9.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9.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9.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9.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9.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9.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9.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9.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9.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9.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9.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9.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9.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9.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9.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9.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9.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9.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9.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9.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9.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9.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9.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9.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9.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9.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9.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9.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9.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9.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9.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9.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9.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9.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9.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9.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9.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9.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9.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9.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9.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9.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9.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9.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9.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9.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9.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9.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9.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9.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9.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9.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9.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9.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9.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9.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9.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9.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9.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9.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9.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9.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9.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9.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9.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9.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9.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9.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9.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9.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9.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9.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9.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9.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9.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9.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9.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9.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9.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9.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9.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9.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9.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9.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9.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9.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9.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9.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9.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9.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9.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9.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9.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9.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9.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9.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9.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9.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9.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9.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9.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9.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9.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9.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9.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9.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9.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9.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9.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9.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9.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9.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9.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9.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9.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9.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9.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9.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9.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9.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9.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9.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9.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9.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9.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9.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9.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9.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9.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9.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9.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9.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9.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9.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9.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9.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9.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9.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9.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9.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9.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9.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9.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9.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9.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9.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9.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9.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9.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9.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9.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9.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9.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9.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9.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9.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9.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9.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9.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9.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9.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9.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9.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9.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9.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9.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9.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9.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9.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9.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9.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9.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9.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9.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9.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9.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9.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9.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9.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9.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9.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9.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9.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9.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9.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9.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9.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9.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9.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9.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9.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9.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9.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9.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9.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9.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9.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9.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9.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9.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9.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9.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9.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9.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9.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9.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9.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9.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9.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9.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9.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9.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9.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9.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9.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9.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9.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9.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9.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9.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9.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9.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9.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9.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9.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9.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9.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9.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9.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9.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9.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9.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9.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9.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9.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9.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9.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9.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9.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9.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9.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9.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9.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9.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9.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9.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9.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9.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9.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9.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9.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9.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9.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9.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9.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9.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9.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9.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9.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9.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9.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9.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9.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9.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9.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9.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9.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9.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9.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A1:I1"/>
    <mergeCell ref="A2:I2"/>
    <mergeCell ref="A8:A10"/>
    <mergeCell ref="A14:I17"/>
    <mergeCell ref="A21:I21"/>
    <mergeCell ref="A25:A26"/>
    <mergeCell ref="A30:I33"/>
    <mergeCell ref="A36:I39"/>
  </mergeCells>
  <conditionalFormatting sqref="A36:I39">
    <cfRule type="containsBlanks" dxfId="1" priority="1">
      <formula>LEN(TRIM(A36))=0</formula>
    </cfRule>
  </conditionalFormatting>
  <conditionalFormatting sqref="B4">
    <cfRule type="containsBlanks" dxfId="0" priority="2">
      <formula>LEN(TRIM(B4))=0</formula>
    </cfRule>
  </conditionalFormatting>
  <conditionalFormatting sqref="B23">
    <cfRule type="containsBlanks" dxfId="1" priority="3">
      <formula>LEN(TRIM(B23))=0</formula>
    </cfRule>
  </conditionalFormatting>
  <conditionalFormatting sqref="A30:I33 C25:C26">
    <cfRule type="containsBlanks" dxfId="1" priority="4">
      <formula>LEN(TRIM(A30))=0</formula>
    </cfRule>
  </conditionalFormatting>
  <conditionalFormatting sqref="A14:I17 C8:D10">
    <cfRule type="containsBlanks" dxfId="0" priority="5">
      <formula>LEN(TRIM(A14))=0</formula>
    </cfRule>
  </conditionalFormatting>
  <dataValidations>
    <dataValidation type="list" allowBlank="1" showErrorMessage="1" sqref="C25:C26">
      <formula1>"X"</formula1>
    </dataValidation>
  </dataValidations>
  <printOptions/>
  <pageMargins bottom="0.75" footer="0.0" header="0.0" left="0.7" right="0.7" top="0.75"/>
  <pageSetup paperSize="66" orientation="landscape"/>
  <headerFooter>
    <oddHeader>&amp;L000000</oddHeader>
  </headerFooter>
  <rowBreaks count="1" manualBreakCount="1">
    <brk id="17"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7.0"/>
    <col customWidth="1" min="2" max="2" width="64.43"/>
    <col customWidth="1" min="3" max="8" width="20.43"/>
    <col customWidth="1" min="9" max="26" width="11.43"/>
  </cols>
  <sheetData>
    <row r="1" ht="73.5" customHeight="1">
      <c r="A1" s="41" t="s">
        <v>2</v>
      </c>
      <c r="I1" s="9"/>
      <c r="J1" s="9"/>
      <c r="K1" s="9"/>
      <c r="L1" s="9"/>
      <c r="M1" s="3"/>
      <c r="N1" s="3"/>
      <c r="O1" s="3"/>
      <c r="P1" s="3"/>
      <c r="Q1" s="3"/>
      <c r="R1" s="3"/>
      <c r="S1" s="3"/>
      <c r="T1" s="3"/>
      <c r="U1" s="3"/>
      <c r="V1" s="3"/>
      <c r="W1" s="3"/>
      <c r="X1" s="3"/>
      <c r="Y1" s="3"/>
      <c r="Z1" s="3"/>
    </row>
    <row r="2" ht="210.0" customHeight="1">
      <c r="A2" s="10" t="s">
        <v>63</v>
      </c>
      <c r="I2" s="58"/>
      <c r="J2" s="59"/>
      <c r="K2" s="59"/>
      <c r="L2" s="59"/>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5"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36.75" customHeight="1">
      <c r="A12" s="25" t="s">
        <v>65</v>
      </c>
      <c r="B12" s="26" t="s">
        <v>66</v>
      </c>
      <c r="C12" s="60"/>
      <c r="D12" s="60"/>
      <c r="E12" s="60"/>
      <c r="F12" s="61"/>
      <c r="G12" s="61"/>
      <c r="H12" s="61"/>
      <c r="I12" s="3"/>
      <c r="J12" s="3"/>
      <c r="K12" s="3"/>
      <c r="L12" s="3"/>
      <c r="M12" s="3"/>
      <c r="N12" s="3"/>
      <c r="O12" s="3"/>
      <c r="P12" s="3"/>
      <c r="Q12" s="3"/>
      <c r="R12" s="3"/>
      <c r="S12" s="3"/>
      <c r="T12" s="3"/>
      <c r="U12" s="3"/>
      <c r="V12" s="3"/>
      <c r="W12" s="3"/>
      <c r="X12" s="3"/>
      <c r="Y12" s="3"/>
      <c r="Z12" s="3"/>
    </row>
    <row r="13" ht="36.75" customHeight="1">
      <c r="A13" s="29"/>
      <c r="B13" s="26" t="s">
        <v>67</v>
      </c>
      <c r="C13" s="60"/>
      <c r="D13" s="60"/>
      <c r="E13" s="60"/>
      <c r="F13" s="29"/>
      <c r="G13" s="29"/>
      <c r="H13" s="29"/>
      <c r="I13" s="3"/>
      <c r="J13" s="3"/>
      <c r="K13" s="3"/>
      <c r="L13" s="3"/>
      <c r="M13" s="3"/>
      <c r="N13" s="3"/>
      <c r="O13" s="3"/>
      <c r="P13" s="3"/>
      <c r="Q13" s="3"/>
      <c r="R13" s="3"/>
      <c r="S13" s="3"/>
      <c r="T13" s="3"/>
      <c r="U13" s="3"/>
      <c r="V13" s="3"/>
      <c r="W13" s="3"/>
      <c r="X13" s="3"/>
      <c r="Y13" s="3"/>
      <c r="Z13" s="3"/>
    </row>
    <row r="14" ht="36.75" customHeight="1">
      <c r="A14" s="29"/>
      <c r="B14" s="26" t="s">
        <v>68</v>
      </c>
      <c r="C14" s="60"/>
      <c r="D14" s="60"/>
      <c r="E14" s="60"/>
      <c r="F14" s="29"/>
      <c r="G14" s="29"/>
      <c r="H14" s="29"/>
      <c r="I14" s="3"/>
      <c r="J14" s="3"/>
      <c r="K14" s="3"/>
      <c r="L14" s="3"/>
      <c r="M14" s="3"/>
      <c r="N14" s="3"/>
      <c r="O14" s="3"/>
      <c r="P14" s="3"/>
      <c r="Q14" s="3"/>
      <c r="R14" s="3"/>
      <c r="S14" s="3"/>
      <c r="T14" s="3"/>
      <c r="U14" s="3"/>
      <c r="V14" s="3"/>
      <c r="W14" s="3"/>
      <c r="X14" s="3"/>
      <c r="Y14" s="3"/>
      <c r="Z14" s="3"/>
    </row>
    <row r="15" ht="36.75" customHeight="1">
      <c r="A15" s="22"/>
      <c r="B15" s="26" t="s">
        <v>69</v>
      </c>
      <c r="C15" s="60"/>
      <c r="D15" s="60"/>
      <c r="E15" s="60"/>
      <c r="F15" s="22"/>
      <c r="G15" s="22"/>
      <c r="H15" s="22"/>
      <c r="I15" s="3"/>
      <c r="J15" s="3"/>
      <c r="K15" s="3"/>
      <c r="L15" s="3"/>
      <c r="M15" s="3"/>
      <c r="N15" s="3"/>
      <c r="O15" s="3"/>
      <c r="P15" s="3"/>
      <c r="Q15" s="3"/>
      <c r="R15" s="3"/>
      <c r="S15" s="3"/>
      <c r="T15" s="3"/>
      <c r="U15" s="3"/>
      <c r="V15" s="3"/>
      <c r="W15" s="3"/>
      <c r="X15" s="3"/>
      <c r="Y15" s="3"/>
      <c r="Z15" s="3"/>
    </row>
    <row r="16" ht="34.5" customHeight="1">
      <c r="A16" s="25" t="s">
        <v>70</v>
      </c>
      <c r="B16" s="26" t="s">
        <v>71</v>
      </c>
      <c r="C16" s="60"/>
      <c r="D16" s="60"/>
      <c r="E16" s="60"/>
      <c r="F16" s="61"/>
      <c r="G16" s="61"/>
      <c r="H16" s="61"/>
      <c r="I16" s="3"/>
      <c r="J16" s="3"/>
      <c r="K16" s="3"/>
      <c r="L16" s="3"/>
      <c r="M16" s="3"/>
      <c r="N16" s="3"/>
      <c r="O16" s="3"/>
      <c r="P16" s="3"/>
      <c r="Q16" s="3"/>
      <c r="R16" s="3"/>
      <c r="S16" s="3"/>
      <c r="T16" s="3"/>
      <c r="U16" s="3"/>
      <c r="V16" s="3"/>
      <c r="W16" s="3"/>
      <c r="X16" s="3"/>
      <c r="Y16" s="3"/>
      <c r="Z16" s="3"/>
    </row>
    <row r="17" ht="34.5" customHeight="1">
      <c r="A17" s="29"/>
      <c r="B17" s="26" t="s">
        <v>72</v>
      </c>
      <c r="C17" s="60"/>
      <c r="D17" s="60"/>
      <c r="E17" s="60"/>
      <c r="F17" s="29"/>
      <c r="G17" s="29"/>
      <c r="H17" s="29"/>
      <c r="I17" s="3"/>
      <c r="J17" s="3"/>
      <c r="K17" s="3"/>
      <c r="L17" s="3"/>
      <c r="M17" s="3"/>
      <c r="N17" s="3"/>
      <c r="O17" s="3"/>
      <c r="P17" s="3"/>
      <c r="Q17" s="3"/>
      <c r="R17" s="3"/>
      <c r="S17" s="3"/>
      <c r="T17" s="3"/>
      <c r="U17" s="3"/>
      <c r="V17" s="3"/>
      <c r="W17" s="3"/>
      <c r="X17" s="3"/>
      <c r="Y17" s="3"/>
      <c r="Z17" s="3"/>
    </row>
    <row r="18" ht="34.5" customHeight="1">
      <c r="A18" s="29"/>
      <c r="B18" s="26" t="s">
        <v>73</v>
      </c>
      <c r="C18" s="60"/>
      <c r="D18" s="60"/>
      <c r="E18" s="60"/>
      <c r="F18" s="29"/>
      <c r="G18" s="29"/>
      <c r="H18" s="29"/>
      <c r="I18" s="3"/>
      <c r="J18" s="3"/>
      <c r="K18" s="3"/>
      <c r="L18" s="3"/>
      <c r="M18" s="3"/>
      <c r="N18" s="3"/>
      <c r="O18" s="3"/>
      <c r="P18" s="3"/>
      <c r="Q18" s="3"/>
      <c r="R18" s="3"/>
      <c r="S18" s="3"/>
      <c r="T18" s="3"/>
      <c r="U18" s="3"/>
      <c r="V18" s="3"/>
      <c r="W18" s="3"/>
      <c r="X18" s="3"/>
      <c r="Y18" s="3"/>
      <c r="Z18" s="3"/>
    </row>
    <row r="19" ht="34.5" customHeight="1">
      <c r="A19" s="29"/>
      <c r="B19" s="25" t="s">
        <v>74</v>
      </c>
      <c r="C19" s="62"/>
      <c r="D19" s="62"/>
      <c r="E19" s="62"/>
      <c r="F19" s="63"/>
      <c r="G19" s="63"/>
      <c r="H19" s="63"/>
      <c r="I19" s="3"/>
      <c r="J19" s="3"/>
      <c r="K19" s="3"/>
      <c r="L19" s="3"/>
      <c r="M19" s="3"/>
      <c r="N19" s="3"/>
      <c r="O19" s="3"/>
      <c r="P19" s="3"/>
      <c r="Q19" s="3"/>
      <c r="R19" s="3"/>
      <c r="S19" s="3"/>
      <c r="T19" s="3"/>
      <c r="U19" s="3"/>
      <c r="V19" s="3"/>
      <c r="W19" s="3"/>
      <c r="X19" s="3"/>
      <c r="Y19" s="3"/>
      <c r="Z19" s="3"/>
    </row>
    <row r="20" ht="34.5" customHeight="1">
      <c r="A20" s="25" t="s">
        <v>75</v>
      </c>
      <c r="B20" s="26" t="s">
        <v>76</v>
      </c>
      <c r="C20" s="60"/>
      <c r="D20" s="60"/>
      <c r="E20" s="64"/>
      <c r="F20" s="61"/>
      <c r="G20" s="61"/>
      <c r="H20" s="61"/>
      <c r="I20" s="3"/>
      <c r="J20" s="3"/>
      <c r="K20" s="3"/>
      <c r="L20" s="3"/>
      <c r="M20" s="3"/>
      <c r="N20" s="3"/>
      <c r="O20" s="3"/>
      <c r="P20" s="3"/>
      <c r="Q20" s="3"/>
      <c r="R20" s="3"/>
      <c r="S20" s="3"/>
      <c r="T20" s="3"/>
      <c r="U20" s="3"/>
      <c r="V20" s="3"/>
      <c r="W20" s="3"/>
      <c r="X20" s="3"/>
      <c r="Y20" s="3"/>
      <c r="Z20" s="3"/>
    </row>
    <row r="21" ht="34.5" customHeight="1">
      <c r="A21" s="29"/>
      <c r="B21" s="26" t="s">
        <v>77</v>
      </c>
      <c r="C21" s="60"/>
      <c r="D21" s="60"/>
      <c r="E21" s="64"/>
      <c r="F21" s="29"/>
      <c r="G21" s="29"/>
      <c r="H21" s="29"/>
      <c r="I21" s="3"/>
      <c r="J21" s="3"/>
      <c r="K21" s="3"/>
      <c r="L21" s="3"/>
      <c r="M21" s="3"/>
      <c r="N21" s="3"/>
      <c r="O21" s="3"/>
      <c r="P21" s="3"/>
      <c r="Q21" s="3"/>
      <c r="R21" s="3"/>
      <c r="S21" s="3"/>
      <c r="T21" s="3"/>
      <c r="U21" s="3"/>
      <c r="V21" s="3"/>
      <c r="W21" s="3"/>
      <c r="X21" s="3"/>
      <c r="Y21" s="3"/>
      <c r="Z21" s="3"/>
    </row>
    <row r="22" ht="34.5" customHeight="1">
      <c r="A22" s="29"/>
      <c r="B22" s="26" t="s">
        <v>78</v>
      </c>
      <c r="C22" s="60"/>
      <c r="D22" s="60"/>
      <c r="E22" s="64"/>
      <c r="F22" s="29"/>
      <c r="G22" s="29"/>
      <c r="H22" s="29"/>
      <c r="I22" s="3"/>
      <c r="J22" s="3"/>
      <c r="K22" s="3"/>
      <c r="L22" s="3"/>
      <c r="M22" s="3"/>
      <c r="N22" s="3"/>
      <c r="O22" s="3"/>
      <c r="P22" s="3"/>
      <c r="Q22" s="3"/>
      <c r="R22" s="3"/>
      <c r="S22" s="3"/>
      <c r="T22" s="3"/>
      <c r="U22" s="3"/>
      <c r="V22" s="3"/>
      <c r="W22" s="3"/>
      <c r="X22" s="3"/>
      <c r="Y22" s="3"/>
      <c r="Z22" s="3"/>
    </row>
    <row r="23" ht="34.5" customHeight="1">
      <c r="A23" s="22"/>
      <c r="B23" s="26" t="s">
        <v>79</v>
      </c>
      <c r="C23" s="60"/>
      <c r="D23" s="60"/>
      <c r="E23" s="64"/>
      <c r="F23" s="63"/>
      <c r="G23" s="63"/>
      <c r="H23" s="63"/>
      <c r="I23" s="3"/>
      <c r="J23" s="3"/>
      <c r="K23" s="3"/>
      <c r="L23" s="3"/>
      <c r="M23" s="3"/>
      <c r="N23" s="3"/>
      <c r="O23" s="3"/>
      <c r="P23" s="3"/>
      <c r="Q23" s="3"/>
      <c r="R23" s="3"/>
      <c r="S23" s="3"/>
      <c r="T23" s="3"/>
      <c r="U23" s="3"/>
      <c r="V23" s="3"/>
      <c r="W23" s="3"/>
      <c r="X23" s="3"/>
      <c r="Y23" s="3"/>
      <c r="Z23" s="3"/>
    </row>
    <row r="24" ht="34.5" customHeight="1">
      <c r="A24" s="25" t="s">
        <v>80</v>
      </c>
      <c r="B24" s="26" t="s">
        <v>81</v>
      </c>
      <c r="C24" s="60"/>
      <c r="D24" s="60"/>
      <c r="E24" s="60"/>
      <c r="F24" s="28"/>
      <c r="G24" s="28"/>
      <c r="H24" s="28"/>
      <c r="I24" s="3"/>
      <c r="J24" s="3"/>
      <c r="K24" s="3"/>
      <c r="L24" s="3"/>
      <c r="M24" s="3"/>
      <c r="N24" s="3"/>
      <c r="O24" s="3"/>
      <c r="P24" s="3"/>
      <c r="Q24" s="3"/>
      <c r="R24" s="3"/>
      <c r="S24" s="3"/>
      <c r="T24" s="3"/>
      <c r="U24" s="3"/>
      <c r="V24" s="3"/>
      <c r="W24" s="3"/>
      <c r="X24" s="3"/>
      <c r="Y24" s="3"/>
      <c r="Z24" s="3"/>
    </row>
    <row r="25" ht="34.5" customHeight="1">
      <c r="A25" s="29"/>
      <c r="B25" s="26" t="s">
        <v>82</v>
      </c>
      <c r="C25" s="60"/>
      <c r="D25" s="60"/>
      <c r="E25" s="60"/>
      <c r="F25" s="29"/>
      <c r="G25" s="29"/>
      <c r="H25" s="29"/>
      <c r="I25" s="3"/>
      <c r="J25" s="3"/>
      <c r="K25" s="3"/>
      <c r="L25" s="3"/>
      <c r="M25" s="3"/>
      <c r="N25" s="3"/>
      <c r="O25" s="3"/>
      <c r="P25" s="3"/>
      <c r="Q25" s="3"/>
      <c r="R25" s="3"/>
      <c r="S25" s="3"/>
      <c r="T25" s="3"/>
      <c r="U25" s="3"/>
      <c r="V25" s="3"/>
      <c r="W25" s="3"/>
      <c r="X25" s="3"/>
      <c r="Y25" s="3"/>
      <c r="Z25" s="3"/>
    </row>
    <row r="26" ht="34.5" customHeight="1">
      <c r="A26" s="22"/>
      <c r="B26" s="26" t="s">
        <v>83</v>
      </c>
      <c r="C26" s="60"/>
      <c r="D26" s="60"/>
      <c r="E26" s="60"/>
      <c r="F26" s="63"/>
      <c r="G26" s="63"/>
      <c r="H26" s="63"/>
      <c r="I26" s="3"/>
      <c r="J26" s="3"/>
      <c r="K26" s="3"/>
      <c r="L26" s="3"/>
      <c r="M26" s="3"/>
      <c r="N26" s="3"/>
      <c r="O26" s="3"/>
      <c r="P26" s="3"/>
      <c r="Q26" s="3"/>
      <c r="R26" s="3"/>
      <c r="S26" s="3"/>
      <c r="T26" s="3"/>
      <c r="U26" s="3"/>
      <c r="V26" s="3"/>
      <c r="W26" s="3"/>
      <c r="X26" s="3"/>
      <c r="Y26" s="3"/>
      <c r="Z26" s="3"/>
    </row>
    <row r="27" ht="34.5" customHeight="1">
      <c r="A27" s="25" t="s">
        <v>84</v>
      </c>
      <c r="B27" s="26" t="s">
        <v>85</v>
      </c>
      <c r="C27" s="60"/>
      <c r="D27" s="60"/>
      <c r="E27" s="64"/>
      <c r="F27" s="61"/>
      <c r="G27" s="61"/>
      <c r="H27" s="61"/>
      <c r="I27" s="3"/>
      <c r="J27" s="3"/>
      <c r="K27" s="3"/>
      <c r="L27" s="3"/>
      <c r="M27" s="3"/>
      <c r="N27" s="3"/>
      <c r="O27" s="3"/>
      <c r="P27" s="3"/>
      <c r="Q27" s="3"/>
      <c r="R27" s="3"/>
      <c r="S27" s="3"/>
      <c r="T27" s="3"/>
      <c r="U27" s="3"/>
      <c r="V27" s="3"/>
      <c r="W27" s="3"/>
      <c r="X27" s="3"/>
      <c r="Y27" s="3"/>
      <c r="Z27" s="3"/>
    </row>
    <row r="28" ht="34.5" customHeight="1">
      <c r="A28" s="29"/>
      <c r="B28" s="26" t="s">
        <v>86</v>
      </c>
      <c r="C28" s="60"/>
      <c r="D28" s="60"/>
      <c r="E28" s="64"/>
      <c r="F28" s="29"/>
      <c r="G28" s="29"/>
      <c r="H28" s="29"/>
      <c r="I28" s="3"/>
      <c r="J28" s="3"/>
      <c r="K28" s="3"/>
      <c r="L28" s="3"/>
      <c r="M28" s="3"/>
      <c r="N28" s="3"/>
      <c r="O28" s="3"/>
      <c r="P28" s="3"/>
      <c r="Q28" s="3"/>
      <c r="R28" s="3"/>
      <c r="S28" s="3"/>
      <c r="T28" s="3"/>
      <c r="U28" s="3"/>
      <c r="V28" s="3"/>
      <c r="W28" s="3"/>
      <c r="X28" s="3"/>
      <c r="Y28" s="3"/>
      <c r="Z28" s="3"/>
    </row>
    <row r="29" ht="34.5" customHeight="1">
      <c r="A29" s="29"/>
      <c r="B29" s="26" t="s">
        <v>87</v>
      </c>
      <c r="C29" s="60"/>
      <c r="D29" s="60"/>
      <c r="E29" s="64"/>
      <c r="F29" s="29"/>
      <c r="G29" s="29"/>
      <c r="H29" s="29"/>
      <c r="I29" s="3"/>
      <c r="J29" s="3"/>
      <c r="K29" s="3"/>
      <c r="L29" s="3"/>
      <c r="M29" s="3"/>
      <c r="N29" s="3"/>
      <c r="O29" s="3"/>
      <c r="P29" s="3"/>
      <c r="Q29" s="3"/>
      <c r="R29" s="3"/>
      <c r="S29" s="3"/>
      <c r="T29" s="3"/>
      <c r="U29" s="3"/>
      <c r="V29" s="3"/>
      <c r="W29" s="3"/>
      <c r="X29" s="3"/>
      <c r="Y29" s="3"/>
      <c r="Z29" s="3"/>
    </row>
    <row r="30" ht="34.5" customHeight="1">
      <c r="A30" s="22"/>
      <c r="B30" s="26" t="s">
        <v>88</v>
      </c>
      <c r="C30" s="60"/>
      <c r="D30" s="60"/>
      <c r="E30" s="64"/>
      <c r="F30" s="22"/>
      <c r="G30" s="22"/>
      <c r="H30" s="22"/>
      <c r="I30" s="3"/>
      <c r="J30" s="3"/>
      <c r="K30" s="3"/>
      <c r="L30" s="3"/>
      <c r="M30" s="3"/>
      <c r="N30" s="3"/>
      <c r="O30" s="3"/>
      <c r="P30" s="3"/>
      <c r="Q30" s="3"/>
      <c r="R30" s="3"/>
      <c r="S30" s="3"/>
      <c r="T30" s="3"/>
      <c r="U30" s="3"/>
      <c r="V30" s="3"/>
      <c r="W30" s="3"/>
      <c r="X30" s="3"/>
      <c r="Y30" s="3"/>
      <c r="Z30" s="3"/>
    </row>
    <row r="31" ht="25.5" customHeight="1">
      <c r="A31" s="12"/>
      <c r="B31" s="12"/>
      <c r="C31" s="12"/>
      <c r="D31" s="12"/>
      <c r="E31" s="65" t="s">
        <v>33</v>
      </c>
      <c r="F31" s="53"/>
      <c r="G31" s="66" t="s">
        <v>34</v>
      </c>
      <c r="H31" s="67" t="str">
        <f>IF(AND(OR(F12="X",H12= "X"),OR(F16="X",H16="X"),OR(F20="X", H20="X"),OR(F24="X",H24="X"),OR(F27="X", H27="X")), "X", "")</f>
        <v/>
      </c>
      <c r="I31" s="3"/>
      <c r="J31" s="3"/>
      <c r="K31" s="3"/>
      <c r="L31" s="3"/>
      <c r="M31" s="3"/>
      <c r="N31" s="3"/>
      <c r="O31" s="3"/>
      <c r="P31" s="3"/>
      <c r="Q31" s="3"/>
      <c r="R31" s="3"/>
      <c r="S31" s="3"/>
      <c r="T31" s="3"/>
      <c r="U31" s="3"/>
      <c r="V31" s="3"/>
      <c r="W31" s="3"/>
      <c r="X31" s="3"/>
      <c r="Y31" s="3"/>
      <c r="Z31" s="3"/>
    </row>
    <row r="32" ht="25.5" customHeight="1">
      <c r="A32" s="12"/>
      <c r="B32" s="12"/>
      <c r="C32" s="12"/>
      <c r="D32" s="12"/>
      <c r="E32" s="33"/>
      <c r="F32" s="34"/>
      <c r="G32" s="5" t="s">
        <v>35</v>
      </c>
      <c r="H32" s="32" t="str">
        <f>IF(OR( G12="x",G16="X",G20="X",G24="X",G27="X"), "X", "")</f>
        <v/>
      </c>
      <c r="I32" s="3"/>
      <c r="J32" s="3"/>
      <c r="K32" s="3"/>
      <c r="L32" s="3"/>
      <c r="M32" s="3"/>
      <c r="N32" s="3"/>
      <c r="O32" s="3"/>
      <c r="P32" s="3"/>
      <c r="Q32" s="3"/>
      <c r="R32" s="3"/>
      <c r="S32" s="3"/>
      <c r="T32" s="3"/>
      <c r="U32" s="3"/>
      <c r="V32" s="3"/>
      <c r="W32" s="3"/>
      <c r="X32" s="3"/>
      <c r="Y32" s="3"/>
      <c r="Z32" s="3"/>
    </row>
    <row r="33" ht="25.5" customHeight="1">
      <c r="A33" s="12"/>
      <c r="B33" s="12"/>
      <c r="C33" s="12"/>
      <c r="D33" s="12"/>
      <c r="E33" s="68"/>
      <c r="F33" s="68"/>
      <c r="G33" s="69"/>
      <c r="H33" s="3"/>
      <c r="I33" s="3"/>
      <c r="J33" s="3"/>
      <c r="K33" s="3"/>
      <c r="L33" s="3"/>
      <c r="M33" s="3"/>
      <c r="N33" s="3"/>
      <c r="O33" s="3"/>
      <c r="P33" s="3"/>
      <c r="Q33" s="3"/>
      <c r="R33" s="3"/>
      <c r="S33" s="3"/>
      <c r="T33" s="3"/>
      <c r="U33" s="3"/>
      <c r="V33" s="3"/>
      <c r="W33" s="3"/>
      <c r="X33" s="3"/>
      <c r="Y33" s="3"/>
      <c r="Z33" s="3"/>
    </row>
    <row r="34" ht="34.5" customHeight="1">
      <c r="A34" s="42" t="s">
        <v>36</v>
      </c>
      <c r="B34" s="12"/>
      <c r="C34" s="12"/>
      <c r="D34" s="12"/>
      <c r="E34" s="12"/>
      <c r="F34" s="15"/>
      <c r="G34" s="15"/>
      <c r="H34" s="12"/>
      <c r="I34" s="3"/>
      <c r="J34" s="3"/>
      <c r="K34" s="3"/>
      <c r="L34" s="3"/>
      <c r="M34" s="3"/>
      <c r="N34" s="3"/>
      <c r="O34" s="3"/>
      <c r="P34" s="3"/>
      <c r="Q34" s="3"/>
      <c r="R34" s="3"/>
      <c r="S34" s="3"/>
      <c r="T34" s="3"/>
      <c r="U34" s="3"/>
      <c r="V34" s="3"/>
      <c r="W34" s="3"/>
      <c r="X34" s="3"/>
      <c r="Y34" s="3"/>
      <c r="Z34" s="3"/>
    </row>
    <row r="35" ht="34.5" customHeight="1">
      <c r="A35" s="36"/>
      <c r="B35" s="37"/>
      <c r="C35" s="37"/>
      <c r="D35" s="37"/>
      <c r="E35" s="37"/>
      <c r="F35" s="37"/>
      <c r="G35" s="37"/>
      <c r="H35" s="31"/>
      <c r="I35" s="3"/>
      <c r="J35" s="3"/>
      <c r="K35" s="3"/>
      <c r="L35" s="3"/>
      <c r="M35" s="3"/>
      <c r="N35" s="3"/>
      <c r="O35" s="3"/>
      <c r="P35" s="3"/>
      <c r="Q35" s="3"/>
      <c r="R35" s="3"/>
      <c r="S35" s="3"/>
      <c r="T35" s="3"/>
      <c r="U35" s="3"/>
      <c r="V35" s="3"/>
      <c r="W35" s="3"/>
      <c r="X35" s="3"/>
      <c r="Y35" s="3"/>
      <c r="Z35" s="3"/>
    </row>
    <row r="36" ht="34.5" customHeight="1">
      <c r="A36" s="38"/>
      <c r="H36" s="39"/>
      <c r="I36" s="3"/>
      <c r="J36" s="3"/>
      <c r="K36" s="3"/>
      <c r="L36" s="3"/>
      <c r="M36" s="3"/>
      <c r="N36" s="3"/>
      <c r="O36" s="3"/>
      <c r="P36" s="3"/>
      <c r="Q36" s="3"/>
      <c r="R36" s="3"/>
      <c r="S36" s="3"/>
      <c r="T36" s="3"/>
      <c r="U36" s="3"/>
      <c r="V36" s="3"/>
      <c r="W36" s="3"/>
      <c r="X36" s="3"/>
      <c r="Y36" s="3"/>
      <c r="Z36" s="3"/>
    </row>
    <row r="37" ht="34.5" customHeight="1">
      <c r="A37" s="33"/>
      <c r="B37" s="40"/>
      <c r="C37" s="40"/>
      <c r="D37" s="40"/>
      <c r="E37" s="40"/>
      <c r="F37" s="40"/>
      <c r="G37" s="40"/>
      <c r="H37" s="34"/>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8">
    <mergeCell ref="A12:A15"/>
    <mergeCell ref="A16:A19"/>
    <mergeCell ref="A20:A23"/>
    <mergeCell ref="A24:A26"/>
    <mergeCell ref="A27:A30"/>
    <mergeCell ref="A1:H1"/>
    <mergeCell ref="A2:H2"/>
    <mergeCell ref="A10:A11"/>
    <mergeCell ref="B10:B11"/>
    <mergeCell ref="C10:E10"/>
    <mergeCell ref="F10:H10"/>
    <mergeCell ref="H12:H15"/>
    <mergeCell ref="F12:F15"/>
    <mergeCell ref="G12:G15"/>
    <mergeCell ref="F16:F19"/>
    <mergeCell ref="G16:G19"/>
    <mergeCell ref="H16:H19"/>
    <mergeCell ref="G20:G23"/>
    <mergeCell ref="H20:H23"/>
    <mergeCell ref="E31:F32"/>
    <mergeCell ref="A35:H37"/>
    <mergeCell ref="F20:F23"/>
    <mergeCell ref="F24:F26"/>
    <mergeCell ref="G24:G26"/>
    <mergeCell ref="H24:H26"/>
    <mergeCell ref="F27:F30"/>
    <mergeCell ref="G27:G30"/>
    <mergeCell ref="H27:H30"/>
  </mergeCells>
  <conditionalFormatting sqref="B4:B5">
    <cfRule type="containsBlanks" dxfId="0" priority="1">
      <formula>LEN(TRIM(B4))=0</formula>
    </cfRule>
  </conditionalFormatting>
  <conditionalFormatting sqref="A35:H37 B7">
    <cfRule type="containsBlanks" dxfId="0" priority="2">
      <formula>LEN(TRIM(A35))=0</formula>
    </cfRule>
  </conditionalFormatting>
  <conditionalFormatting sqref="C12:H12 C13:E15 C16:H16 C17:E30 F20:H20 F24:H24">
    <cfRule type="containsBlanks" dxfId="0" priority="3">
      <formula>LEN(TRIM(C12))=0</formula>
    </cfRule>
  </conditionalFormatting>
  <conditionalFormatting sqref="F27:H27">
    <cfRule type="containsBlanks" dxfId="0" priority="4">
      <formula>LEN(TRIM(F27))=0</formula>
    </cfRule>
  </conditionalFormatting>
  <conditionalFormatting sqref="H31:H32">
    <cfRule type="containsBlanks" dxfId="0" priority="5">
      <formula>LEN(TRIM(H31))=0</formula>
    </cfRule>
  </conditionalFormatting>
  <dataValidations>
    <dataValidation type="list" allowBlank="1" showErrorMessage="1" sqref="C12:H12 C13:E15 C16:H16 C17:E19 C20:H20 C21:E23 C24:H24 C25:E26 C27:H27 C28:E30">
      <formula1>"X"</formula1>
    </dataValidation>
    <dataValidation type="custom" allowBlank="1" showInputMessage="1" showErrorMessage="1" prompt="Erreur de saisie - Le commentaire est obligatoire. Veuillez remplir cette section" sqref="A35">
      <formula1>GT(LEN(A35),(2))</formula1>
    </dataValidation>
  </dataValidations>
  <printOptions/>
  <pageMargins bottom="0.748031496062992" footer="0.0" header="0.0" left="0.708661417322835" right="0.708661417322835" top="0.748031496062992"/>
  <pageSetup paperSize="8" orientation="landscape"/>
  <headerFooter>
    <oddHeader>&amp;L000000</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3"/>
    <col customWidth="1" min="2" max="2" width="37.86"/>
    <col customWidth="1" min="3" max="3" width="37.43"/>
    <col customWidth="1" min="4" max="4" width="33.43"/>
    <col customWidth="1" min="5" max="5" width="25.43"/>
    <col customWidth="1" min="6" max="26" width="21.43"/>
  </cols>
  <sheetData>
    <row r="1" ht="84.0" customHeight="1">
      <c r="A1" s="41" t="s">
        <v>2</v>
      </c>
      <c r="J1" s="9"/>
      <c r="K1" s="9"/>
      <c r="L1" s="9"/>
      <c r="M1" s="3"/>
      <c r="N1" s="3"/>
      <c r="O1" s="3"/>
      <c r="P1" s="3"/>
      <c r="Q1" s="3"/>
      <c r="R1" s="3"/>
      <c r="S1" s="3"/>
      <c r="T1" s="3"/>
      <c r="U1" s="3"/>
      <c r="V1" s="3"/>
      <c r="W1" s="3"/>
      <c r="X1" s="3"/>
      <c r="Y1" s="3"/>
      <c r="Z1" s="3"/>
    </row>
    <row r="2" ht="37.5" customHeight="1">
      <c r="A2" s="70" t="s">
        <v>89</v>
      </c>
      <c r="J2" s="11"/>
      <c r="K2" s="11"/>
      <c r="L2" s="11"/>
      <c r="M2" s="3"/>
      <c r="N2" s="3"/>
      <c r="O2" s="3"/>
      <c r="P2" s="3"/>
      <c r="Q2" s="3"/>
      <c r="R2" s="3"/>
      <c r="S2" s="3"/>
      <c r="T2" s="3"/>
      <c r="U2" s="3"/>
      <c r="V2" s="3"/>
      <c r="W2" s="3"/>
      <c r="X2" s="3"/>
      <c r="Y2" s="3"/>
      <c r="Z2" s="3"/>
    </row>
    <row r="3" ht="41.25" customHeight="1">
      <c r="A3" s="12"/>
      <c r="B3" s="12"/>
      <c r="C3" s="12"/>
      <c r="D3" s="12"/>
      <c r="E3" s="12"/>
      <c r="F3" s="12"/>
      <c r="G3" s="12"/>
      <c r="H3" s="12"/>
      <c r="I3" s="12"/>
      <c r="J3" s="3"/>
      <c r="K3" s="3"/>
      <c r="L3" s="3"/>
      <c r="M3" s="3"/>
      <c r="N3" s="3"/>
      <c r="O3" s="3"/>
      <c r="P3" s="3"/>
      <c r="Q3" s="3"/>
      <c r="R3" s="3"/>
      <c r="S3" s="3"/>
      <c r="T3" s="3"/>
      <c r="U3" s="3"/>
      <c r="V3" s="3"/>
      <c r="W3" s="3"/>
      <c r="X3" s="3"/>
      <c r="Y3" s="3"/>
      <c r="Z3" s="3"/>
    </row>
    <row r="4" ht="41.25" customHeight="1">
      <c r="A4" s="13" t="s">
        <v>5</v>
      </c>
      <c r="B4" s="71" t="str">
        <f>IF(NOMPRENOM="", "", NOMPRENOM)</f>
        <v/>
      </c>
      <c r="C4" s="12"/>
      <c r="D4" s="15"/>
      <c r="E4" s="12"/>
      <c r="F4" s="12"/>
      <c r="G4" s="12"/>
      <c r="H4" s="12"/>
      <c r="I4" s="12"/>
      <c r="J4" s="3"/>
      <c r="K4" s="3"/>
      <c r="L4" s="3"/>
      <c r="M4" s="3"/>
      <c r="N4" s="3"/>
      <c r="O4" s="3"/>
      <c r="P4" s="3"/>
      <c r="Q4" s="3"/>
      <c r="R4" s="3"/>
      <c r="S4" s="3"/>
      <c r="T4" s="3"/>
      <c r="U4" s="3"/>
      <c r="V4" s="3"/>
      <c r="W4" s="3"/>
      <c r="X4" s="3"/>
      <c r="Y4" s="3"/>
      <c r="Z4" s="3"/>
    </row>
    <row r="5" ht="41.25" customHeight="1">
      <c r="A5" s="3"/>
      <c r="B5" s="3"/>
      <c r="C5" s="3"/>
      <c r="D5" s="3"/>
      <c r="E5" s="3"/>
      <c r="F5" s="3"/>
      <c r="G5" s="3"/>
      <c r="H5" s="3"/>
      <c r="I5" s="3"/>
      <c r="J5" s="3"/>
      <c r="K5" s="3"/>
      <c r="L5" s="3"/>
      <c r="M5" s="3"/>
      <c r="N5" s="3"/>
      <c r="O5" s="3"/>
      <c r="P5" s="3"/>
      <c r="Q5" s="3"/>
      <c r="R5" s="3"/>
      <c r="S5" s="3"/>
      <c r="T5" s="3"/>
      <c r="U5" s="3"/>
      <c r="V5" s="3"/>
      <c r="W5" s="3"/>
      <c r="X5" s="3"/>
      <c r="Y5" s="3"/>
      <c r="Z5" s="3"/>
    </row>
    <row r="6" ht="41.25" customHeight="1">
      <c r="A6" s="44"/>
      <c r="B6" s="44"/>
      <c r="C6" s="44"/>
      <c r="D6" s="44"/>
      <c r="E6" s="3"/>
      <c r="F6" s="3"/>
      <c r="G6" s="3"/>
      <c r="H6" s="3"/>
      <c r="I6" s="3"/>
      <c r="J6" s="3"/>
      <c r="K6" s="3"/>
      <c r="L6" s="3"/>
      <c r="M6" s="3"/>
      <c r="N6" s="3"/>
      <c r="O6" s="3"/>
      <c r="P6" s="3"/>
      <c r="Q6" s="3"/>
      <c r="R6" s="3"/>
      <c r="S6" s="3"/>
      <c r="T6" s="3"/>
      <c r="U6" s="3"/>
      <c r="V6" s="3"/>
      <c r="W6" s="3"/>
      <c r="X6" s="3"/>
      <c r="Y6" s="3"/>
      <c r="Z6" s="3"/>
    </row>
    <row r="7" ht="41.25" customHeight="1">
      <c r="A7" s="3"/>
      <c r="B7" s="3"/>
      <c r="C7" s="72" t="s">
        <v>52</v>
      </c>
      <c r="D7" s="72" t="s">
        <v>53</v>
      </c>
      <c r="E7" s="3"/>
      <c r="F7" s="3"/>
      <c r="G7" s="3"/>
      <c r="H7" s="3"/>
      <c r="I7" s="3"/>
      <c r="J7" s="3"/>
      <c r="K7" s="3"/>
      <c r="L7" s="3"/>
      <c r="M7" s="3"/>
      <c r="N7" s="3"/>
      <c r="O7" s="3"/>
      <c r="P7" s="3"/>
      <c r="Q7" s="3"/>
      <c r="R7" s="3"/>
      <c r="S7" s="3"/>
      <c r="T7" s="3"/>
      <c r="U7" s="3"/>
      <c r="V7" s="3"/>
      <c r="W7" s="3"/>
      <c r="X7" s="3"/>
      <c r="Y7" s="3"/>
      <c r="Z7" s="3"/>
    </row>
    <row r="8" ht="69.75" customHeight="1">
      <c r="A8" s="73" t="s">
        <v>90</v>
      </c>
      <c r="B8" s="74" t="s">
        <v>91</v>
      </c>
      <c r="C8" s="45" t="str">
        <f>ME2.1_OUI</f>
        <v/>
      </c>
      <c r="D8" s="45" t="str">
        <f>ME2.1_NON</f>
        <v/>
      </c>
      <c r="E8" s="3"/>
      <c r="F8" s="3"/>
      <c r="G8" s="3"/>
      <c r="H8" s="3"/>
      <c r="I8" s="3"/>
      <c r="J8" s="3"/>
      <c r="K8" s="3"/>
      <c r="L8" s="3"/>
      <c r="M8" s="3"/>
      <c r="N8" s="3"/>
      <c r="O8" s="3"/>
      <c r="P8" s="3"/>
      <c r="Q8" s="3"/>
      <c r="R8" s="3"/>
      <c r="S8" s="3"/>
      <c r="T8" s="3"/>
      <c r="U8" s="3"/>
      <c r="V8" s="3"/>
      <c r="W8" s="3"/>
      <c r="X8" s="3"/>
      <c r="Y8" s="3"/>
      <c r="Z8" s="3"/>
    </row>
    <row r="9" ht="41.25" customHeight="1">
      <c r="A9" s="48"/>
      <c r="B9" s="49"/>
      <c r="C9" s="50"/>
      <c r="D9" s="50"/>
      <c r="E9" s="3"/>
      <c r="F9" s="3"/>
      <c r="G9" s="3"/>
      <c r="H9" s="3"/>
      <c r="I9" s="3"/>
      <c r="J9" s="3"/>
      <c r="K9" s="3"/>
      <c r="L9" s="3"/>
      <c r="M9" s="3"/>
      <c r="N9" s="3"/>
      <c r="O9" s="3"/>
      <c r="P9" s="3"/>
      <c r="Q9" s="3"/>
      <c r="R9" s="3"/>
      <c r="S9" s="3"/>
      <c r="T9" s="3"/>
      <c r="U9" s="3"/>
      <c r="V9" s="3"/>
      <c r="W9" s="3"/>
      <c r="X9" s="3"/>
      <c r="Y9" s="3"/>
      <c r="Z9" s="3"/>
    </row>
    <row r="10" ht="41.25" customHeight="1">
      <c r="A10" s="12"/>
      <c r="B10" s="49"/>
      <c r="C10" s="17"/>
      <c r="D10" s="3"/>
      <c r="E10" s="3"/>
      <c r="F10" s="3"/>
      <c r="G10" s="3"/>
      <c r="H10" s="3"/>
      <c r="I10" s="3"/>
      <c r="J10" s="3"/>
      <c r="K10" s="3"/>
      <c r="L10" s="3"/>
      <c r="M10" s="3"/>
      <c r="N10" s="3"/>
      <c r="O10" s="3"/>
      <c r="P10" s="3"/>
      <c r="Q10" s="3"/>
      <c r="R10" s="3"/>
      <c r="S10" s="3"/>
      <c r="T10" s="3"/>
      <c r="U10" s="3"/>
      <c r="V10" s="3"/>
      <c r="W10" s="3"/>
      <c r="X10" s="3"/>
      <c r="Y10" s="3"/>
      <c r="Z10" s="3"/>
    </row>
    <row r="11" ht="41.25" customHeight="1">
      <c r="A11" s="55" t="s">
        <v>57</v>
      </c>
      <c r="B11" s="12"/>
      <c r="C11" s="12"/>
      <c r="D11" s="12"/>
      <c r="E11" s="12"/>
      <c r="F11" s="12"/>
      <c r="G11" s="12"/>
      <c r="H11" s="12"/>
      <c r="I11" s="12"/>
      <c r="J11" s="3"/>
      <c r="K11" s="3"/>
      <c r="L11" s="3"/>
      <c r="M11" s="3"/>
      <c r="N11" s="3"/>
      <c r="O11" s="3"/>
      <c r="P11" s="3"/>
      <c r="Q11" s="3"/>
      <c r="R11" s="3"/>
      <c r="S11" s="3"/>
      <c r="T11" s="3"/>
      <c r="U11" s="3"/>
      <c r="V11" s="3"/>
      <c r="W11" s="3"/>
      <c r="X11" s="3"/>
      <c r="Y11" s="3"/>
      <c r="Z11" s="3"/>
    </row>
    <row r="12" ht="41.25" customHeight="1">
      <c r="A12" s="51"/>
      <c r="B12" s="52"/>
      <c r="C12" s="52"/>
      <c r="D12" s="52"/>
      <c r="E12" s="52"/>
      <c r="F12" s="52"/>
      <c r="G12" s="52"/>
      <c r="H12" s="52"/>
      <c r="I12" s="53"/>
      <c r="J12" s="3"/>
      <c r="K12" s="3"/>
      <c r="L12" s="3"/>
      <c r="M12" s="3"/>
      <c r="N12" s="3"/>
      <c r="O12" s="3"/>
      <c r="P12" s="3"/>
      <c r="Q12" s="3"/>
      <c r="R12" s="3"/>
      <c r="S12" s="3"/>
      <c r="T12" s="3"/>
      <c r="U12" s="3"/>
      <c r="V12" s="3"/>
      <c r="W12" s="3"/>
      <c r="X12" s="3"/>
      <c r="Y12" s="3"/>
      <c r="Z12" s="3"/>
    </row>
    <row r="13" ht="41.25" customHeight="1">
      <c r="A13" s="38"/>
      <c r="I13" s="39"/>
      <c r="J13" s="3"/>
      <c r="K13" s="3"/>
      <c r="L13" s="3"/>
      <c r="M13" s="3"/>
      <c r="N13" s="3"/>
      <c r="O13" s="3"/>
      <c r="P13" s="3"/>
      <c r="Q13" s="3"/>
      <c r="R13" s="3"/>
      <c r="S13" s="3"/>
      <c r="T13" s="3"/>
      <c r="U13" s="3"/>
      <c r="V13" s="3"/>
      <c r="W13" s="3"/>
      <c r="X13" s="3"/>
      <c r="Y13" s="3"/>
      <c r="Z13" s="3"/>
    </row>
    <row r="14" ht="41.25" customHeight="1">
      <c r="A14" s="38"/>
      <c r="I14" s="39"/>
      <c r="J14" s="3"/>
      <c r="K14" s="3"/>
      <c r="L14" s="3"/>
      <c r="M14" s="3"/>
      <c r="N14" s="3"/>
      <c r="O14" s="3"/>
      <c r="P14" s="3"/>
      <c r="Q14" s="3"/>
      <c r="R14" s="3"/>
      <c r="S14" s="3"/>
      <c r="T14" s="3"/>
      <c r="U14" s="3"/>
      <c r="V14" s="3"/>
      <c r="W14" s="3"/>
      <c r="X14" s="3"/>
      <c r="Y14" s="3"/>
      <c r="Z14" s="3"/>
    </row>
    <row r="15" ht="41.25" customHeight="1">
      <c r="A15" s="33"/>
      <c r="B15" s="40"/>
      <c r="C15" s="40"/>
      <c r="D15" s="40"/>
      <c r="E15" s="40"/>
      <c r="F15" s="40"/>
      <c r="G15" s="40"/>
      <c r="H15" s="40"/>
      <c r="I15" s="34"/>
      <c r="J15" s="3"/>
      <c r="K15" s="3"/>
      <c r="L15" s="3"/>
      <c r="M15" s="3"/>
      <c r="N15" s="3"/>
      <c r="O15" s="3"/>
      <c r="P15" s="3"/>
      <c r="Q15" s="3"/>
      <c r="R15" s="3"/>
      <c r="S15" s="3"/>
      <c r="T15" s="3"/>
      <c r="U15" s="3"/>
      <c r="V15" s="3"/>
      <c r="W15" s="3"/>
      <c r="X15" s="3"/>
      <c r="Y15" s="3"/>
      <c r="Z15" s="3"/>
    </row>
    <row r="16" ht="41.25" customHeight="1">
      <c r="A16" s="12"/>
      <c r="B16" s="49"/>
      <c r="C16" s="17"/>
      <c r="D16" s="3"/>
      <c r="E16" s="3"/>
      <c r="F16" s="3"/>
      <c r="G16" s="3"/>
      <c r="H16" s="3"/>
      <c r="I16" s="3"/>
      <c r="J16" s="3"/>
      <c r="K16" s="3"/>
      <c r="L16" s="3"/>
      <c r="M16" s="3"/>
      <c r="N16" s="3"/>
      <c r="O16" s="3"/>
      <c r="P16" s="3"/>
      <c r="Q16" s="3"/>
      <c r="R16" s="3"/>
      <c r="S16" s="3"/>
      <c r="T16" s="3"/>
      <c r="U16" s="3"/>
      <c r="V16" s="3"/>
      <c r="W16" s="3"/>
      <c r="X16" s="3"/>
      <c r="Y16" s="3"/>
      <c r="Z16" s="3"/>
    </row>
    <row r="17" ht="41.25" customHeight="1">
      <c r="A17" s="12"/>
      <c r="B17" s="49"/>
      <c r="C17" s="17"/>
      <c r="D17" s="3"/>
      <c r="E17" s="3"/>
      <c r="F17" s="3"/>
      <c r="G17" s="3"/>
      <c r="H17" s="3"/>
      <c r="I17" s="3"/>
      <c r="J17" s="3"/>
      <c r="K17" s="3"/>
      <c r="L17" s="3"/>
      <c r="M17" s="3"/>
      <c r="N17" s="3"/>
      <c r="O17" s="3"/>
      <c r="P17" s="3"/>
      <c r="Q17" s="3"/>
      <c r="R17" s="3"/>
      <c r="S17" s="3"/>
      <c r="T17" s="3"/>
      <c r="U17" s="3"/>
      <c r="V17" s="3"/>
      <c r="W17" s="3"/>
      <c r="X17" s="3"/>
      <c r="Y17" s="3"/>
      <c r="Z17" s="3"/>
    </row>
    <row r="18" ht="41.25" customHeight="1">
      <c r="A18" s="12"/>
      <c r="B18" s="49"/>
      <c r="C18" s="17"/>
      <c r="D18" s="3"/>
      <c r="E18" s="3"/>
      <c r="F18" s="3"/>
      <c r="G18" s="3"/>
      <c r="H18" s="3"/>
      <c r="I18" s="3"/>
      <c r="J18" s="3"/>
      <c r="K18" s="3"/>
      <c r="L18" s="3"/>
      <c r="M18" s="3"/>
      <c r="N18" s="3"/>
      <c r="O18" s="3"/>
      <c r="P18" s="3"/>
      <c r="Q18" s="3"/>
      <c r="R18" s="3"/>
      <c r="S18" s="3"/>
      <c r="T18" s="3"/>
      <c r="U18" s="3"/>
      <c r="V18" s="3"/>
      <c r="W18" s="3"/>
      <c r="X18" s="3"/>
      <c r="Y18" s="3"/>
      <c r="Z18" s="3"/>
    </row>
    <row r="19" ht="41.25" customHeight="1">
      <c r="A19" s="54" t="s">
        <v>58</v>
      </c>
      <c r="B19" s="21"/>
      <c r="C19" s="21"/>
      <c r="D19" s="21"/>
      <c r="E19" s="21"/>
      <c r="F19" s="21"/>
      <c r="G19" s="21"/>
      <c r="H19" s="21"/>
      <c r="I19" s="2"/>
      <c r="J19" s="3"/>
      <c r="K19" s="3"/>
      <c r="L19" s="3"/>
      <c r="M19" s="3"/>
      <c r="N19" s="3"/>
      <c r="O19" s="3"/>
      <c r="P19" s="3"/>
      <c r="Q19" s="3"/>
      <c r="R19" s="3"/>
      <c r="S19" s="3"/>
      <c r="T19" s="3"/>
      <c r="U19" s="3"/>
      <c r="V19" s="3"/>
      <c r="W19" s="3"/>
      <c r="X19" s="3"/>
      <c r="Y19" s="3"/>
      <c r="Z19" s="3"/>
    </row>
    <row r="20" ht="39.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9.0" customHeight="1">
      <c r="A21" s="55" t="s">
        <v>59</v>
      </c>
      <c r="B21" s="5"/>
      <c r="C21" s="17"/>
      <c r="D21" s="3"/>
      <c r="E21" s="3"/>
      <c r="F21" s="3"/>
      <c r="G21" s="3"/>
      <c r="H21" s="3"/>
      <c r="I21" s="3"/>
      <c r="J21" s="3"/>
      <c r="K21" s="3"/>
      <c r="L21" s="3"/>
      <c r="M21" s="3"/>
      <c r="N21" s="3"/>
      <c r="O21" s="3"/>
      <c r="P21" s="3"/>
      <c r="Q21" s="3"/>
      <c r="R21" s="3"/>
      <c r="S21" s="3"/>
      <c r="T21" s="3"/>
      <c r="U21" s="3"/>
      <c r="V21" s="3"/>
      <c r="W21" s="3"/>
      <c r="X21" s="3"/>
      <c r="Y21" s="3"/>
      <c r="Z21" s="3"/>
    </row>
    <row r="22" ht="39.0" customHeight="1">
      <c r="A22" s="12"/>
      <c r="B22" s="49"/>
      <c r="C22" s="17"/>
      <c r="D22" s="3"/>
      <c r="E22" s="3"/>
      <c r="F22" s="3"/>
      <c r="G22" s="3"/>
      <c r="H22" s="3"/>
      <c r="I22" s="3"/>
      <c r="J22" s="3"/>
      <c r="K22" s="3"/>
      <c r="L22" s="3"/>
      <c r="M22" s="3"/>
      <c r="N22" s="3"/>
      <c r="O22" s="3"/>
      <c r="P22" s="3"/>
      <c r="Q22" s="3"/>
      <c r="R22" s="3"/>
      <c r="S22" s="3"/>
      <c r="T22" s="3"/>
      <c r="U22" s="3"/>
      <c r="V22" s="3"/>
      <c r="W22" s="3"/>
      <c r="X22" s="3"/>
      <c r="Y22" s="3"/>
      <c r="Z22" s="3"/>
    </row>
    <row r="23" ht="39.0" customHeight="1">
      <c r="A23" s="75" t="s">
        <v>92</v>
      </c>
      <c r="B23" s="55" t="s">
        <v>34</v>
      </c>
      <c r="C23" s="45"/>
      <c r="D23" s="3"/>
      <c r="E23" s="3"/>
      <c r="F23" s="3"/>
      <c r="G23" s="3"/>
      <c r="H23" s="3"/>
      <c r="I23" s="3"/>
      <c r="J23" s="3"/>
      <c r="K23" s="3"/>
      <c r="L23" s="3"/>
      <c r="M23" s="3"/>
      <c r="N23" s="3"/>
      <c r="O23" s="3"/>
      <c r="P23" s="3"/>
      <c r="Q23" s="3"/>
      <c r="R23" s="3"/>
      <c r="S23" s="3"/>
      <c r="T23" s="3"/>
      <c r="U23" s="3"/>
      <c r="V23" s="3"/>
      <c r="W23" s="3"/>
      <c r="X23" s="3"/>
      <c r="Y23" s="3"/>
      <c r="Z23" s="3"/>
    </row>
    <row r="24" ht="39.0" customHeight="1">
      <c r="A24" s="22"/>
      <c r="B24" s="55" t="s">
        <v>35</v>
      </c>
      <c r="C24" s="45"/>
      <c r="D24" s="3"/>
      <c r="E24" s="3"/>
      <c r="F24" s="3"/>
      <c r="G24" s="3"/>
      <c r="H24" s="3"/>
      <c r="I24" s="3"/>
      <c r="J24" s="3"/>
      <c r="K24" s="3"/>
      <c r="L24" s="3"/>
      <c r="M24" s="3"/>
      <c r="N24" s="3"/>
      <c r="O24" s="3"/>
      <c r="P24" s="3"/>
      <c r="Q24" s="3"/>
      <c r="R24" s="3"/>
      <c r="S24" s="3"/>
      <c r="T24" s="3"/>
      <c r="U24" s="3"/>
      <c r="V24" s="3"/>
      <c r="W24" s="3"/>
      <c r="X24" s="3"/>
      <c r="Y24" s="3"/>
      <c r="Z24" s="3"/>
    </row>
    <row r="25" ht="39.0" customHeight="1">
      <c r="A25" s="12"/>
      <c r="B25" s="12"/>
      <c r="C25" s="12"/>
      <c r="D25" s="3"/>
      <c r="E25" s="3"/>
      <c r="F25" s="3"/>
      <c r="G25" s="3"/>
      <c r="H25" s="3"/>
      <c r="I25" s="3"/>
      <c r="J25" s="3"/>
      <c r="K25" s="3"/>
      <c r="L25" s="3"/>
      <c r="M25" s="3"/>
      <c r="N25" s="3"/>
      <c r="O25" s="3"/>
      <c r="P25" s="3"/>
      <c r="Q25" s="3"/>
      <c r="R25" s="3"/>
      <c r="S25" s="3"/>
      <c r="T25" s="3"/>
      <c r="U25" s="3"/>
      <c r="V25" s="3"/>
      <c r="W25" s="3"/>
      <c r="X25" s="3"/>
      <c r="Y25" s="3"/>
      <c r="Z25" s="3"/>
    </row>
    <row r="26" ht="39.0" customHeight="1">
      <c r="A26" s="12"/>
      <c r="B26" s="12"/>
      <c r="C26" s="12"/>
      <c r="D26" s="3"/>
      <c r="E26" s="3"/>
      <c r="F26" s="3"/>
      <c r="G26" s="3"/>
      <c r="H26" s="3"/>
      <c r="I26" s="3"/>
      <c r="J26" s="3"/>
      <c r="K26" s="3"/>
      <c r="L26" s="3"/>
      <c r="M26" s="3"/>
      <c r="N26" s="3"/>
      <c r="O26" s="3"/>
      <c r="P26" s="3"/>
      <c r="Q26" s="3"/>
      <c r="R26" s="3"/>
      <c r="S26" s="3"/>
      <c r="T26" s="3"/>
      <c r="U26" s="3"/>
      <c r="V26" s="3"/>
      <c r="W26" s="3"/>
      <c r="X26" s="3"/>
      <c r="Y26" s="3"/>
      <c r="Z26" s="3"/>
    </row>
    <row r="27" ht="39.0" customHeight="1">
      <c r="A27" s="55" t="s">
        <v>61</v>
      </c>
      <c r="B27" s="12"/>
      <c r="C27" s="12"/>
      <c r="D27" s="3"/>
      <c r="E27" s="3"/>
      <c r="F27" s="3"/>
      <c r="G27" s="3"/>
      <c r="H27" s="3"/>
      <c r="I27" s="3"/>
      <c r="J27" s="3"/>
      <c r="K27" s="3"/>
      <c r="L27" s="3"/>
      <c r="M27" s="3"/>
      <c r="N27" s="3"/>
      <c r="O27" s="3"/>
      <c r="P27" s="3"/>
      <c r="Q27" s="3"/>
      <c r="R27" s="3"/>
      <c r="S27" s="3"/>
      <c r="T27" s="3"/>
      <c r="U27" s="3"/>
      <c r="V27" s="3"/>
      <c r="W27" s="3"/>
      <c r="X27" s="3"/>
      <c r="Y27" s="3"/>
      <c r="Z27" s="3"/>
    </row>
    <row r="28" ht="39.0" customHeight="1">
      <c r="A28" s="57"/>
      <c r="B28" s="37"/>
      <c r="C28" s="37"/>
      <c r="D28" s="37"/>
      <c r="E28" s="37"/>
      <c r="F28" s="37"/>
      <c r="G28" s="37"/>
      <c r="H28" s="37"/>
      <c r="I28" s="31"/>
      <c r="J28" s="3"/>
      <c r="K28" s="3"/>
      <c r="L28" s="3"/>
      <c r="M28" s="3"/>
      <c r="N28" s="3"/>
      <c r="O28" s="3"/>
      <c r="P28" s="3"/>
      <c r="Q28" s="3"/>
      <c r="R28" s="3"/>
      <c r="S28" s="3"/>
      <c r="T28" s="3"/>
      <c r="U28" s="3"/>
      <c r="V28" s="3"/>
      <c r="W28" s="3"/>
      <c r="X28" s="3"/>
      <c r="Y28" s="3"/>
      <c r="Z28" s="3"/>
    </row>
    <row r="29" ht="39.0" customHeight="1">
      <c r="A29" s="38"/>
      <c r="I29" s="39"/>
      <c r="J29" s="3"/>
      <c r="K29" s="3"/>
      <c r="L29" s="3"/>
      <c r="M29" s="3"/>
      <c r="N29" s="3"/>
      <c r="O29" s="3"/>
      <c r="P29" s="3"/>
      <c r="Q29" s="3"/>
      <c r="R29" s="3"/>
      <c r="S29" s="3"/>
      <c r="T29" s="3"/>
      <c r="U29" s="3"/>
      <c r="V29" s="3"/>
      <c r="W29" s="3"/>
      <c r="X29" s="3"/>
      <c r="Y29" s="3"/>
      <c r="Z29" s="3"/>
    </row>
    <row r="30" ht="39.0" customHeight="1">
      <c r="A30" s="38"/>
      <c r="I30" s="39"/>
      <c r="J30" s="3"/>
      <c r="K30" s="3"/>
      <c r="L30" s="3"/>
      <c r="M30" s="3"/>
      <c r="N30" s="3"/>
      <c r="O30" s="3"/>
      <c r="P30" s="3"/>
      <c r="Q30" s="3"/>
      <c r="R30" s="3"/>
      <c r="S30" s="3"/>
      <c r="T30" s="3"/>
      <c r="U30" s="3"/>
      <c r="V30" s="3"/>
      <c r="W30" s="3"/>
      <c r="X30" s="3"/>
      <c r="Y30" s="3"/>
      <c r="Z30" s="3"/>
    </row>
    <row r="31" ht="39.0" customHeight="1">
      <c r="A31" s="33"/>
      <c r="B31" s="40"/>
      <c r="C31" s="40"/>
      <c r="D31" s="40"/>
      <c r="E31" s="40"/>
      <c r="F31" s="40"/>
      <c r="G31" s="40"/>
      <c r="H31" s="40"/>
      <c r="I31" s="34"/>
      <c r="J31" s="3"/>
      <c r="K31" s="3"/>
      <c r="L31" s="3"/>
      <c r="M31" s="3"/>
      <c r="N31" s="3"/>
      <c r="O31" s="3"/>
      <c r="P31" s="3"/>
      <c r="Q31" s="3"/>
      <c r="R31" s="3"/>
      <c r="S31" s="3"/>
      <c r="T31" s="3"/>
      <c r="U31" s="3"/>
      <c r="V31" s="3"/>
      <c r="W31" s="3"/>
      <c r="X31" s="3"/>
      <c r="Y31" s="3"/>
      <c r="Z31" s="3"/>
    </row>
    <row r="32" ht="39.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9.0" customHeight="1">
      <c r="A33" s="55" t="s">
        <v>62</v>
      </c>
      <c r="B33" s="12"/>
      <c r="C33" s="12"/>
      <c r="D33" s="3"/>
      <c r="E33" s="3"/>
      <c r="F33" s="3"/>
      <c r="G33" s="3"/>
      <c r="H33" s="3"/>
      <c r="I33" s="3"/>
      <c r="J33" s="3"/>
      <c r="K33" s="3"/>
      <c r="L33" s="3"/>
      <c r="M33" s="3"/>
      <c r="N33" s="3"/>
      <c r="O33" s="3"/>
      <c r="P33" s="3"/>
      <c r="Q33" s="3"/>
      <c r="R33" s="3"/>
      <c r="S33" s="3"/>
      <c r="T33" s="3"/>
      <c r="U33" s="3"/>
      <c r="V33" s="3"/>
      <c r="W33" s="3"/>
      <c r="X33" s="3"/>
      <c r="Y33" s="3"/>
      <c r="Z33" s="3"/>
    </row>
    <row r="34" ht="39.0" customHeight="1">
      <c r="A34" s="57"/>
      <c r="B34" s="37"/>
      <c r="C34" s="37"/>
      <c r="D34" s="37"/>
      <c r="E34" s="37"/>
      <c r="F34" s="37"/>
      <c r="G34" s="37"/>
      <c r="H34" s="37"/>
      <c r="I34" s="31"/>
      <c r="J34" s="3"/>
      <c r="K34" s="3"/>
      <c r="L34" s="3"/>
      <c r="M34" s="3"/>
      <c r="N34" s="3"/>
      <c r="O34" s="3"/>
      <c r="P34" s="3"/>
      <c r="Q34" s="3"/>
      <c r="R34" s="3"/>
      <c r="S34" s="3"/>
      <c r="T34" s="3"/>
      <c r="U34" s="3"/>
      <c r="V34" s="3"/>
      <c r="W34" s="3"/>
      <c r="X34" s="3"/>
      <c r="Y34" s="3"/>
      <c r="Z34" s="3"/>
    </row>
    <row r="35" ht="39.0" customHeight="1">
      <c r="A35" s="38"/>
      <c r="I35" s="39"/>
      <c r="J35" s="3"/>
      <c r="K35" s="3"/>
      <c r="L35" s="3"/>
      <c r="M35" s="3"/>
      <c r="N35" s="3"/>
      <c r="O35" s="3"/>
      <c r="P35" s="3"/>
      <c r="Q35" s="3"/>
      <c r="R35" s="3"/>
      <c r="S35" s="3"/>
      <c r="T35" s="3"/>
      <c r="U35" s="3"/>
      <c r="V35" s="3"/>
      <c r="W35" s="3"/>
      <c r="X35" s="3"/>
      <c r="Y35" s="3"/>
      <c r="Z35" s="3"/>
    </row>
    <row r="36" ht="39.0" customHeight="1">
      <c r="A36" s="38"/>
      <c r="I36" s="39"/>
      <c r="J36" s="3"/>
      <c r="K36" s="3"/>
      <c r="L36" s="3"/>
      <c r="M36" s="3"/>
      <c r="N36" s="3"/>
      <c r="O36" s="3"/>
      <c r="P36" s="3"/>
      <c r="Q36" s="3"/>
      <c r="R36" s="3"/>
      <c r="S36" s="3"/>
      <c r="T36" s="3"/>
      <c r="U36" s="3"/>
      <c r="V36" s="3"/>
      <c r="W36" s="3"/>
      <c r="X36" s="3"/>
      <c r="Y36" s="3"/>
      <c r="Z36" s="3"/>
    </row>
    <row r="37" ht="39.0" customHeight="1">
      <c r="A37" s="33"/>
      <c r="B37" s="40"/>
      <c r="C37" s="40"/>
      <c r="D37" s="40"/>
      <c r="E37" s="40"/>
      <c r="F37" s="40"/>
      <c r="G37" s="40"/>
      <c r="H37" s="40"/>
      <c r="I37" s="34"/>
      <c r="J37" s="3"/>
      <c r="K37" s="3"/>
      <c r="L37" s="3"/>
      <c r="M37" s="3"/>
      <c r="N37" s="3"/>
      <c r="O37" s="3"/>
      <c r="P37" s="3"/>
      <c r="Q37" s="3"/>
      <c r="R37" s="3"/>
      <c r="S37" s="3"/>
      <c r="T37" s="3"/>
      <c r="U37" s="3"/>
      <c r="V37" s="3"/>
      <c r="W37" s="3"/>
      <c r="X37" s="3"/>
      <c r="Y37" s="3"/>
      <c r="Z37" s="3"/>
    </row>
    <row r="38" ht="39.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9.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9.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9.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9.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9.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9.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9.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9.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9.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9.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9.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9.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9.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9.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9.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9.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9.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9.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9.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9.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9.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9.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9.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9.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9.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9.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9.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9.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9.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9.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9.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9.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9.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9.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9.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9.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9.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9.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9.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9.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9.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9.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9.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9.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9.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9.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9.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9.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9.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9.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9.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9.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9.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9.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9.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9.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9.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9.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9.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9.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9.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9.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9.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9.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9.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9.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9.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9.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9.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9.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9.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9.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9.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9.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9.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9.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9.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9.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9.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9.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9.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9.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9.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9.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9.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9.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9.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9.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9.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9.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9.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9.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9.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9.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9.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9.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9.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9.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9.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9.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9.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9.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9.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9.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9.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9.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9.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9.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9.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9.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9.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9.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9.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9.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9.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9.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9.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9.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9.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9.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9.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9.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9.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9.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9.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9.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9.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9.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9.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9.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9.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9.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9.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9.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9.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9.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9.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9.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9.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9.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9.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9.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9.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9.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9.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9.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9.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9.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9.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9.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9.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9.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9.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9.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9.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9.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9.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9.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9.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9.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9.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9.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9.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9.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9.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9.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9.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9.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9.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9.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9.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9.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9.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9.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9.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9.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9.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9.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9.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9.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9.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9.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9.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9.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9.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9.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9.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9.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9.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9.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9.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9.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9.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9.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9.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9.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9.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9.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9.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9.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9.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9.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9.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9.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9.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9.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9.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9.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9.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9.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9.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9.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9.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9.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9.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9.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9.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9.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9.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9.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9.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9.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9.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9.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9.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9.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9.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9.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9.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9.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9.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9.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9.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9.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9.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9.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9.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9.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9.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9.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9.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9.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9.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9.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9.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9.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9.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9.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9.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9.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9.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9.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9.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9.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9.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9.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9.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9.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9.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9.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9.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9.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9.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9.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9.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9.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9.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9.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9.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9.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9.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9.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9.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9.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9.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9.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9.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9.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9.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9.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9.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9.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9.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9.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9.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9.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9.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9.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9.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9.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9.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9.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9.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9.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9.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9.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9.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9.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9.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9.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9.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9.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9.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9.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9.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9.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9.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9.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9.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9.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9.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9.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9.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9.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9.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9.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9.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9.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9.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9.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9.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9.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9.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9.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9.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9.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9.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9.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9.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9.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9.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9.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9.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9.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9.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9.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9.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9.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9.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9.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9.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9.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9.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9.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9.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9.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9.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9.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9.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9.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9.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9.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9.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9.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9.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9.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9.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9.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9.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9.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9.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9.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9.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9.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9.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9.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9.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9.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9.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9.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9.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9.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9.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9.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9.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9.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9.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9.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9.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9.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9.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9.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9.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9.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9.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9.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9.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9.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9.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9.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9.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9.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9.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9.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9.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9.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9.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9.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9.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9.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9.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9.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9.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9.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9.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9.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9.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9.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9.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9.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9.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9.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9.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9.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9.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9.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9.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9.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9.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9.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9.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9.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9.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9.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9.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9.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9.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9.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9.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9.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9.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9.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9.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9.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9.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9.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9.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9.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9.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9.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9.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9.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9.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9.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9.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9.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9.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9.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9.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9.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9.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9.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9.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9.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9.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9.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9.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9.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9.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9.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9.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9.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9.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9.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9.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9.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9.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9.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9.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9.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9.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9.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9.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9.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9.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9.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9.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9.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9.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9.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9.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9.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9.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9.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9.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9.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9.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9.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9.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9.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9.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9.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9.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9.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9.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9.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9.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9.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9.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9.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9.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9.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9.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9.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9.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9.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9.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9.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9.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9.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9.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9.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9.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9.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9.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9.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9.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9.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9.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9.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9.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9.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9.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9.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9.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9.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9.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9.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9.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9.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9.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9.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9.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9.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9.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9.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9.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9.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9.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9.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9.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9.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9.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9.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9.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9.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9.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9.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9.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9.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9.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9.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9.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9.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9.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9.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9.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9.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9.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9.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9.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9.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9.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9.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9.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9.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9.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9.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9.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9.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9.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9.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9.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9.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9.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9.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9.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9.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9.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9.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9.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9.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9.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9.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9.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9.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9.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9.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9.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9.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9.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9.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9.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9.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9.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9.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9.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9.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9.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9.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9.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9.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9.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9.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9.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9.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9.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9.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9.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9.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9.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9.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9.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9.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9.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9.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9.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9.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9.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9.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9.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9.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9.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9.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9.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9.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9.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9.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9.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9.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9.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9.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9.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9.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9.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9.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9.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9.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9.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9.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9.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9.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9.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9.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9.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9.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9.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9.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9.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9.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9.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9.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9.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9.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9.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9.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9.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9.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9.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9.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9.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9.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9.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9.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9.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9.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9.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9.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9.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9.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9.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9.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9.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9.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9.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9.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9.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9.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9.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9.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9.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9.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9.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9.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9.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9.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9.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9.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9.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9.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9.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9.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9.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9.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9.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9.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9.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9.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9.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9.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9.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9.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9.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9.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9.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9.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9.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9.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9.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9.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9.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9.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9.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9.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9.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9.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9.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9.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9.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9.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9.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9.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9.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9.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9.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9.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9.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9.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9.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9.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9.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9.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9.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9.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9.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9.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9.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9.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9.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9.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9.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9.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9.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9.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9.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9.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9.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9.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9.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9.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9.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9.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9.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9.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9.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9.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9.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9.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9.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9.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9.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9.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9.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9.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9.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9.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9.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9.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9.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9.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9.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9.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9.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9.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9.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9.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9.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9.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9.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9.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9.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9.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9.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9.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9.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9.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9.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9.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9.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9.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9.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9.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9.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9.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9.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9.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9.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9.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9.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9.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9.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9.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9.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9.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9.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9.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9.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9.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9.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9.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9.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9.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9.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9.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9.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9.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9.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9.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9.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9.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9.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9.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9.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9.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9.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9.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9.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9.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9.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9.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9.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9.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9.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9.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9.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9.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9.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9.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9.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9.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9.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9.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9.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9.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9.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9.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9.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9.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9.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9.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9.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9.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9.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9.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9.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9.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9.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9.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9.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9.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9.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9.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9.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9.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9.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9.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9.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9.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9.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9.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9.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9.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9.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9.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9.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9.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9.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9.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9.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9.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9.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9.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9.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9.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9.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9.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9.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9.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9.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9.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9.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9.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9.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9.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9.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9.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9.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9.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9.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9.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9.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9.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9.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9.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9.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9.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9.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9.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9.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9.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9.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9.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9.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9.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9.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9.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9.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9.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9.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9.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9.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9.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9.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9.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9.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9.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9.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9.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9.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9.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9.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9.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9.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9.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9.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9.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9.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9.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9.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9.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9.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9.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9.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9.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9.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9.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9.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9.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9.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9.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9.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9.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9.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9.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9.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9.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9.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9.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9.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9.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9.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1:I1"/>
    <mergeCell ref="A2:I2"/>
    <mergeCell ref="A12:I15"/>
    <mergeCell ref="A19:I19"/>
    <mergeCell ref="A23:A24"/>
    <mergeCell ref="A28:I31"/>
    <mergeCell ref="A34:I37"/>
  </mergeCells>
  <conditionalFormatting sqref="A34:I37">
    <cfRule type="containsBlanks" dxfId="1" priority="1">
      <formula>LEN(TRIM(A34))=0</formula>
    </cfRule>
  </conditionalFormatting>
  <conditionalFormatting sqref="B4">
    <cfRule type="containsBlanks" dxfId="2" priority="2" stopIfTrue="1">
      <formula>LEN(TRIM(B4))=0</formula>
    </cfRule>
  </conditionalFormatting>
  <conditionalFormatting sqref="B21">
    <cfRule type="containsBlanks" dxfId="1" priority="3">
      <formula>LEN(TRIM(B21))=0</formula>
    </cfRule>
  </conditionalFormatting>
  <conditionalFormatting sqref="A28:I31 C23:C24">
    <cfRule type="containsBlanks" dxfId="1" priority="4">
      <formula>LEN(TRIM(A28))=0</formula>
    </cfRule>
  </conditionalFormatting>
  <conditionalFormatting sqref="A12:I15 C8:D8">
    <cfRule type="containsBlanks" dxfId="0" priority="5">
      <formula>LEN(TRIM(A12))=0</formula>
    </cfRule>
  </conditionalFormatting>
  <dataValidations>
    <dataValidation type="list" allowBlank="1" showErrorMessage="1" sqref="C23:C24">
      <formula1>"X"</formula1>
    </dataValidation>
  </dataValidations>
  <printOptions/>
  <pageMargins bottom="0.75" footer="0.0" header="0.0" left="0.7" right="0.7" top="0.75"/>
  <pageSetup paperSize="66" orientation="landscape"/>
  <headerFooter>
    <oddHeader/>
  </headerFooter>
  <rowBreaks count="1" manualBreakCount="1">
    <brk id="15"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2</v>
      </c>
      <c r="B1" s="7"/>
      <c r="C1" s="7"/>
      <c r="D1" s="7"/>
      <c r="E1" s="7"/>
      <c r="F1" s="7"/>
      <c r="G1" s="7"/>
      <c r="H1" s="8"/>
      <c r="I1" s="9"/>
      <c r="J1" s="9"/>
      <c r="K1" s="9"/>
      <c r="L1" s="9"/>
      <c r="M1" s="3"/>
      <c r="N1" s="3"/>
      <c r="O1" s="3"/>
      <c r="P1" s="3"/>
      <c r="Q1" s="3"/>
      <c r="R1" s="3"/>
      <c r="S1" s="3"/>
      <c r="T1" s="3"/>
      <c r="U1" s="3"/>
      <c r="V1" s="3"/>
      <c r="W1" s="3"/>
      <c r="X1" s="3"/>
      <c r="Y1" s="3"/>
      <c r="Z1" s="3"/>
    </row>
    <row r="2" ht="201.0" customHeight="1">
      <c r="A2" s="76" t="s">
        <v>93</v>
      </c>
      <c r="B2" s="7"/>
      <c r="C2" s="7"/>
      <c r="D2" s="7"/>
      <c r="E2" s="7"/>
      <c r="F2" s="7"/>
      <c r="G2" s="7"/>
      <c r="H2" s="8"/>
      <c r="I2" s="59"/>
      <c r="J2" s="11"/>
      <c r="K2" s="11"/>
      <c r="L2" s="11"/>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71"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39.0" customHeight="1">
      <c r="A12" s="75" t="s">
        <v>94</v>
      </c>
      <c r="B12" s="77" t="s">
        <v>95</v>
      </c>
      <c r="C12" s="60"/>
      <c r="D12" s="60"/>
      <c r="E12" s="60"/>
      <c r="F12" s="61"/>
      <c r="G12" s="61"/>
      <c r="H12" s="61"/>
      <c r="I12" s="3"/>
      <c r="J12" s="3"/>
      <c r="K12" s="3"/>
      <c r="L12" s="3"/>
      <c r="M12" s="3"/>
      <c r="N12" s="3"/>
      <c r="O12" s="3"/>
      <c r="P12" s="3"/>
      <c r="Q12" s="3"/>
      <c r="R12" s="3"/>
      <c r="S12" s="3"/>
      <c r="T12" s="3"/>
      <c r="U12" s="3"/>
      <c r="V12" s="3"/>
      <c r="W12" s="3"/>
      <c r="X12" s="3"/>
      <c r="Y12" s="3"/>
      <c r="Z12" s="3"/>
    </row>
    <row r="13" ht="39.0" customHeight="1">
      <c r="A13" s="29"/>
      <c r="B13" s="77" t="s">
        <v>96</v>
      </c>
      <c r="C13" s="60"/>
      <c r="D13" s="60"/>
      <c r="E13" s="60"/>
      <c r="F13" s="29"/>
      <c r="G13" s="29"/>
      <c r="H13" s="29"/>
      <c r="I13" s="3"/>
      <c r="J13" s="3"/>
      <c r="K13" s="3"/>
      <c r="L13" s="3"/>
      <c r="M13" s="3"/>
      <c r="N13" s="3"/>
      <c r="O13" s="3"/>
      <c r="P13" s="3"/>
      <c r="Q13" s="3"/>
      <c r="R13" s="3"/>
      <c r="S13" s="3"/>
      <c r="T13" s="3"/>
      <c r="U13" s="3"/>
      <c r="V13" s="3"/>
      <c r="W13" s="3"/>
      <c r="X13" s="3"/>
      <c r="Y13" s="3"/>
      <c r="Z13" s="3"/>
    </row>
    <row r="14" ht="39.0" customHeight="1">
      <c r="A14" s="29"/>
      <c r="B14" s="77" t="s">
        <v>97</v>
      </c>
      <c r="C14" s="60"/>
      <c r="D14" s="60"/>
      <c r="E14" s="60"/>
      <c r="F14" s="29"/>
      <c r="G14" s="29"/>
      <c r="H14" s="29"/>
      <c r="I14" s="3"/>
      <c r="J14" s="3"/>
      <c r="K14" s="3"/>
      <c r="L14" s="3"/>
      <c r="M14" s="3"/>
      <c r="N14" s="3"/>
      <c r="O14" s="3"/>
      <c r="P14" s="3"/>
      <c r="Q14" s="3"/>
      <c r="R14" s="3"/>
      <c r="S14" s="3"/>
      <c r="T14" s="3"/>
      <c r="U14" s="3"/>
      <c r="V14" s="3"/>
      <c r="W14" s="3"/>
      <c r="X14" s="3"/>
      <c r="Y14" s="3"/>
      <c r="Z14" s="3"/>
    </row>
    <row r="15" ht="39.0" customHeight="1">
      <c r="A15" s="22"/>
      <c r="B15" s="77" t="s">
        <v>98</v>
      </c>
      <c r="C15" s="60"/>
      <c r="D15" s="60"/>
      <c r="E15" s="60"/>
      <c r="F15" s="22"/>
      <c r="G15" s="22"/>
      <c r="H15" s="22"/>
      <c r="I15" s="3"/>
      <c r="J15" s="3"/>
      <c r="K15" s="3"/>
      <c r="L15" s="3"/>
      <c r="M15" s="3"/>
      <c r="N15" s="3"/>
      <c r="O15" s="3"/>
      <c r="P15" s="3"/>
      <c r="Q15" s="3"/>
      <c r="R15" s="3"/>
      <c r="S15" s="3"/>
      <c r="T15" s="3"/>
      <c r="U15" s="3"/>
      <c r="V15" s="3"/>
      <c r="W15" s="3"/>
      <c r="X15" s="3"/>
      <c r="Y15" s="3"/>
      <c r="Z15" s="3"/>
    </row>
    <row r="16" ht="39.0" customHeight="1">
      <c r="A16" s="75" t="s">
        <v>99</v>
      </c>
      <c r="B16" s="77" t="s">
        <v>100</v>
      </c>
      <c r="C16" s="60"/>
      <c r="D16" s="60"/>
      <c r="E16" s="60"/>
      <c r="F16" s="61"/>
      <c r="G16" s="61"/>
      <c r="H16" s="61"/>
      <c r="I16" s="3"/>
      <c r="J16" s="3"/>
      <c r="K16" s="3"/>
      <c r="L16" s="3"/>
      <c r="M16" s="3"/>
      <c r="N16" s="3"/>
      <c r="O16" s="3"/>
      <c r="P16" s="3"/>
      <c r="Q16" s="3"/>
      <c r="R16" s="3"/>
      <c r="S16" s="3"/>
      <c r="T16" s="3"/>
      <c r="U16" s="3"/>
      <c r="V16" s="3"/>
      <c r="W16" s="3"/>
      <c r="X16" s="3"/>
      <c r="Y16" s="3"/>
      <c r="Z16" s="3"/>
    </row>
    <row r="17" ht="39.0" customHeight="1">
      <c r="A17" s="29"/>
      <c r="B17" s="77" t="s">
        <v>101</v>
      </c>
      <c r="C17" s="60"/>
      <c r="D17" s="60"/>
      <c r="E17" s="60"/>
      <c r="F17" s="29"/>
      <c r="G17" s="29"/>
      <c r="H17" s="29"/>
      <c r="I17" s="3"/>
      <c r="J17" s="3"/>
      <c r="K17" s="3"/>
      <c r="L17" s="3"/>
      <c r="M17" s="3"/>
      <c r="N17" s="3"/>
      <c r="O17" s="3"/>
      <c r="P17" s="3"/>
      <c r="Q17" s="3"/>
      <c r="R17" s="3"/>
      <c r="S17" s="3"/>
      <c r="T17" s="3"/>
      <c r="U17" s="3"/>
      <c r="V17" s="3"/>
      <c r="W17" s="3"/>
      <c r="X17" s="3"/>
      <c r="Y17" s="3"/>
      <c r="Z17" s="3"/>
    </row>
    <row r="18" ht="39.0" customHeight="1">
      <c r="A18" s="22"/>
      <c r="B18" s="77" t="s">
        <v>102</v>
      </c>
      <c r="C18" s="60"/>
      <c r="D18" s="60"/>
      <c r="E18" s="60"/>
      <c r="F18" s="22"/>
      <c r="G18" s="22"/>
      <c r="H18" s="22"/>
      <c r="I18" s="3"/>
      <c r="J18" s="3"/>
      <c r="K18" s="3"/>
      <c r="L18" s="3"/>
      <c r="M18" s="3"/>
      <c r="N18" s="3"/>
      <c r="O18" s="3"/>
      <c r="P18" s="3"/>
      <c r="Q18" s="3"/>
      <c r="R18" s="3"/>
      <c r="S18" s="3"/>
      <c r="T18" s="3"/>
      <c r="U18" s="3"/>
      <c r="V18" s="3"/>
      <c r="W18" s="3"/>
      <c r="X18" s="3"/>
      <c r="Y18" s="3"/>
      <c r="Z18" s="3"/>
    </row>
    <row r="19" ht="39.0" customHeight="1">
      <c r="A19" s="75" t="s">
        <v>103</v>
      </c>
      <c r="B19" s="77" t="s">
        <v>104</v>
      </c>
      <c r="C19" s="60"/>
      <c r="D19" s="60"/>
      <c r="E19" s="60"/>
      <c r="F19" s="61"/>
      <c r="G19" s="61"/>
      <c r="H19" s="61"/>
      <c r="I19" s="3"/>
      <c r="J19" s="3"/>
      <c r="K19" s="3"/>
      <c r="L19" s="3"/>
      <c r="M19" s="3"/>
      <c r="N19" s="3"/>
      <c r="O19" s="3"/>
      <c r="P19" s="3"/>
      <c r="Q19" s="3"/>
      <c r="R19" s="3"/>
      <c r="S19" s="3"/>
      <c r="T19" s="3"/>
      <c r="U19" s="3"/>
      <c r="V19" s="3"/>
      <c r="W19" s="3"/>
      <c r="X19" s="3"/>
      <c r="Y19" s="3"/>
      <c r="Z19" s="3"/>
    </row>
    <row r="20" ht="39.0" customHeight="1">
      <c r="A20" s="29"/>
      <c r="B20" s="77" t="s">
        <v>105</v>
      </c>
      <c r="C20" s="60"/>
      <c r="D20" s="60"/>
      <c r="E20" s="60"/>
      <c r="F20" s="29"/>
      <c r="G20" s="29"/>
      <c r="H20" s="29"/>
      <c r="I20" s="3"/>
      <c r="J20" s="3"/>
      <c r="K20" s="3"/>
      <c r="L20" s="3"/>
      <c r="M20" s="3"/>
      <c r="N20" s="3"/>
      <c r="O20" s="3"/>
      <c r="P20" s="3"/>
      <c r="Q20" s="3"/>
      <c r="R20" s="3"/>
      <c r="S20" s="3"/>
      <c r="T20" s="3"/>
      <c r="U20" s="3"/>
      <c r="V20" s="3"/>
      <c r="W20" s="3"/>
      <c r="X20" s="3"/>
      <c r="Y20" s="3"/>
      <c r="Z20" s="3"/>
    </row>
    <row r="21" ht="39.0" customHeight="1">
      <c r="A21" s="29"/>
      <c r="B21" s="77" t="s">
        <v>106</v>
      </c>
      <c r="C21" s="60"/>
      <c r="D21" s="60"/>
      <c r="E21" s="60"/>
      <c r="F21" s="29"/>
      <c r="G21" s="29"/>
      <c r="H21" s="29"/>
      <c r="I21" s="3"/>
      <c r="J21" s="3"/>
      <c r="K21" s="3"/>
      <c r="L21" s="3"/>
      <c r="M21" s="3"/>
      <c r="N21" s="3"/>
      <c r="O21" s="3"/>
      <c r="P21" s="3"/>
      <c r="Q21" s="3"/>
      <c r="R21" s="3"/>
      <c r="S21" s="3"/>
      <c r="T21" s="3"/>
      <c r="U21" s="3"/>
      <c r="V21" s="3"/>
      <c r="W21" s="3"/>
      <c r="X21" s="3"/>
      <c r="Y21" s="3"/>
      <c r="Z21" s="3"/>
    </row>
    <row r="22" ht="39.0" customHeight="1">
      <c r="A22" s="22"/>
      <c r="B22" s="77" t="s">
        <v>107</v>
      </c>
      <c r="C22" s="60"/>
      <c r="D22" s="60"/>
      <c r="E22" s="60"/>
      <c r="F22" s="22"/>
      <c r="G22" s="22"/>
      <c r="H22" s="22"/>
      <c r="I22" s="3"/>
      <c r="J22" s="3"/>
      <c r="K22" s="3"/>
      <c r="L22" s="3"/>
      <c r="M22" s="3"/>
      <c r="N22" s="3"/>
      <c r="O22" s="3"/>
      <c r="P22" s="3"/>
      <c r="Q22" s="3"/>
      <c r="R22" s="3"/>
      <c r="S22" s="3"/>
      <c r="T22" s="3"/>
      <c r="U22" s="3"/>
      <c r="V22" s="3"/>
      <c r="W22" s="3"/>
      <c r="X22" s="3"/>
      <c r="Y22" s="3"/>
      <c r="Z22" s="3"/>
    </row>
    <row r="23" ht="25.5" customHeight="1">
      <c r="A23" s="12"/>
      <c r="B23" s="12"/>
      <c r="C23" s="12"/>
      <c r="D23" s="12"/>
      <c r="E23" s="30" t="s">
        <v>33</v>
      </c>
      <c r="F23" s="31"/>
      <c r="G23" s="5" t="s">
        <v>34</v>
      </c>
      <c r="H23" s="32" t="str">
        <f>IF(AND(OR(F12="X", H12="X"), OR(F16="X",H16= "X"),OR(F19="X",H19="X")), "X", "")</f>
        <v/>
      </c>
      <c r="I23" s="3"/>
      <c r="J23" s="3"/>
      <c r="K23" s="3"/>
      <c r="L23" s="3"/>
      <c r="M23" s="3"/>
      <c r="N23" s="3"/>
      <c r="O23" s="3"/>
      <c r="P23" s="3"/>
      <c r="Q23" s="3"/>
      <c r="R23" s="3"/>
      <c r="S23" s="3"/>
      <c r="T23" s="3"/>
      <c r="U23" s="3"/>
      <c r="V23" s="3"/>
      <c r="W23" s="3"/>
      <c r="X23" s="3"/>
      <c r="Y23" s="3"/>
      <c r="Z23" s="3"/>
    </row>
    <row r="24" ht="25.5" customHeight="1">
      <c r="A24" s="12"/>
      <c r="B24" s="12"/>
      <c r="C24" s="12"/>
      <c r="D24" s="12"/>
      <c r="E24" s="33"/>
      <c r="F24" s="34"/>
      <c r="G24" s="5" t="s">
        <v>35</v>
      </c>
      <c r="H24" s="32" t="str">
        <f>IF(OR(G12="X",G16= "X",G19="X"), "X", "")</f>
        <v/>
      </c>
      <c r="I24" s="3"/>
      <c r="J24" s="3"/>
      <c r="K24" s="3"/>
      <c r="L24" s="3"/>
      <c r="M24" s="3"/>
      <c r="N24" s="3"/>
      <c r="O24" s="3"/>
      <c r="P24" s="3"/>
      <c r="Q24" s="3"/>
      <c r="R24" s="3"/>
      <c r="S24" s="3"/>
      <c r="T24" s="3"/>
      <c r="U24" s="3"/>
      <c r="V24" s="3"/>
      <c r="W24" s="3"/>
      <c r="X24" s="3"/>
      <c r="Y24" s="3"/>
      <c r="Z24" s="3"/>
    </row>
    <row r="25" ht="34.5" customHeight="1">
      <c r="A25" s="12"/>
      <c r="B25" s="12"/>
      <c r="C25" s="12"/>
      <c r="D25" s="12"/>
      <c r="E25" s="12"/>
      <c r="F25" s="15"/>
      <c r="G25" s="15"/>
      <c r="H25" s="12"/>
      <c r="I25" s="3"/>
      <c r="J25" s="3"/>
      <c r="K25" s="3"/>
      <c r="L25" s="3"/>
      <c r="M25" s="3"/>
      <c r="N25" s="3"/>
      <c r="O25" s="3"/>
      <c r="P25" s="3"/>
      <c r="Q25" s="3"/>
      <c r="R25" s="3"/>
      <c r="S25" s="3"/>
      <c r="T25" s="3"/>
      <c r="U25" s="3"/>
      <c r="V25" s="3"/>
      <c r="W25" s="3"/>
      <c r="X25" s="3"/>
      <c r="Y25" s="3"/>
      <c r="Z25" s="3"/>
    </row>
    <row r="26" ht="34.5" customHeight="1">
      <c r="A26" s="5" t="s">
        <v>36</v>
      </c>
      <c r="B26" s="12"/>
      <c r="C26" s="12"/>
      <c r="D26" s="12"/>
      <c r="E26" s="12"/>
      <c r="F26" s="12"/>
      <c r="G26" s="12"/>
      <c r="H26" s="12"/>
      <c r="I26" s="3"/>
      <c r="J26" s="3"/>
      <c r="K26" s="3"/>
      <c r="L26" s="3"/>
      <c r="M26" s="3"/>
      <c r="N26" s="3"/>
      <c r="O26" s="3"/>
      <c r="P26" s="3"/>
      <c r="Q26" s="3"/>
      <c r="R26" s="3"/>
      <c r="S26" s="3"/>
      <c r="T26" s="3"/>
      <c r="U26" s="3"/>
      <c r="V26" s="3"/>
      <c r="W26" s="3"/>
      <c r="X26" s="3"/>
      <c r="Y26" s="3"/>
      <c r="Z26" s="3"/>
    </row>
    <row r="27" ht="34.5" customHeight="1">
      <c r="A27" s="36"/>
      <c r="B27" s="37"/>
      <c r="C27" s="37"/>
      <c r="D27" s="37"/>
      <c r="E27" s="37"/>
      <c r="F27" s="37"/>
      <c r="G27" s="37"/>
      <c r="H27" s="31"/>
      <c r="I27" s="3"/>
      <c r="J27" s="3"/>
      <c r="K27" s="3"/>
      <c r="L27" s="3"/>
      <c r="M27" s="3"/>
      <c r="N27" s="3"/>
      <c r="O27" s="3"/>
      <c r="P27" s="3"/>
      <c r="Q27" s="3"/>
      <c r="R27" s="3"/>
      <c r="S27" s="3"/>
      <c r="T27" s="3"/>
      <c r="U27" s="3"/>
      <c r="V27" s="3"/>
      <c r="W27" s="3"/>
      <c r="X27" s="3"/>
      <c r="Y27" s="3"/>
      <c r="Z27" s="3"/>
    </row>
    <row r="28" ht="34.5" customHeight="1">
      <c r="A28" s="38"/>
      <c r="H28" s="39"/>
      <c r="I28" s="3"/>
      <c r="J28" s="3"/>
      <c r="K28" s="3"/>
      <c r="L28" s="3"/>
      <c r="M28" s="3"/>
      <c r="N28" s="3"/>
      <c r="O28" s="3"/>
      <c r="P28" s="3"/>
      <c r="Q28" s="3"/>
      <c r="R28" s="3"/>
      <c r="S28" s="3"/>
      <c r="T28" s="3"/>
      <c r="U28" s="3"/>
      <c r="V28" s="3"/>
      <c r="W28" s="3"/>
      <c r="X28" s="3"/>
      <c r="Y28" s="3"/>
      <c r="Z28" s="3"/>
    </row>
    <row r="29" ht="34.5" customHeight="1">
      <c r="A29" s="33"/>
      <c r="B29" s="40"/>
      <c r="C29" s="40"/>
      <c r="D29" s="40"/>
      <c r="E29" s="40"/>
      <c r="F29" s="40"/>
      <c r="G29" s="40"/>
      <c r="H29" s="34"/>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0">
    <mergeCell ref="A12:A15"/>
    <mergeCell ref="A16:A18"/>
    <mergeCell ref="A19:A22"/>
    <mergeCell ref="A1:H1"/>
    <mergeCell ref="A2:H2"/>
    <mergeCell ref="A10:A11"/>
    <mergeCell ref="B10:B11"/>
    <mergeCell ref="C10:E10"/>
    <mergeCell ref="F10:H10"/>
    <mergeCell ref="H12:H15"/>
    <mergeCell ref="F19:F22"/>
    <mergeCell ref="E23:F24"/>
    <mergeCell ref="A27:H29"/>
    <mergeCell ref="F12:F15"/>
    <mergeCell ref="G12:G15"/>
    <mergeCell ref="F16:F18"/>
    <mergeCell ref="G16:G18"/>
    <mergeCell ref="H16:H18"/>
    <mergeCell ref="G19:G22"/>
    <mergeCell ref="H19:H22"/>
  </mergeCells>
  <conditionalFormatting sqref="A27:H29 B4 B7">
    <cfRule type="containsBlanks" dxfId="0" priority="1">
      <formula>LEN(TRIM(A27))=0</formula>
    </cfRule>
  </conditionalFormatting>
  <conditionalFormatting sqref="B5">
    <cfRule type="containsBlanks" dxfId="3" priority="2" stopIfTrue="1">
      <formula>LEN(TRIM(B5))=0</formula>
    </cfRule>
  </conditionalFormatting>
  <conditionalFormatting sqref="C12:H12 C13:E15 C16:H16 C17:E18 C19:H19 C20:E22">
    <cfRule type="containsBlanks" dxfId="0" priority="3">
      <formula>LEN(TRIM(C12))=0</formula>
    </cfRule>
  </conditionalFormatting>
  <conditionalFormatting sqref="H23:H24">
    <cfRule type="containsBlanks" dxfId="0" priority="4">
      <formula>LEN(TRIM(H23))=0</formula>
    </cfRule>
  </conditionalFormatting>
  <dataValidations>
    <dataValidation type="list" allowBlank="1" showErrorMessage="1" sqref="C12:H12 C13:E15 C16:H16 C17:E18 C19:H19 C20:E22">
      <formula1>"X"</formula1>
    </dataValidation>
    <dataValidation type="custom" allowBlank="1" showInputMessage="1" showErrorMessage="1" prompt="Erreur de saisie - Le commentaire est obligatoire. Veuillez remplir cette section" sqref="A27">
      <formula1>GT(LEN(A27),(2))</formula1>
    </dataValidation>
  </dataValidations>
  <printOptions/>
  <pageMargins bottom="0.748031496062992" footer="0.0" header="0.0" left="0.708661417322835" right="0.708661417322835" top="0.748031496062992"/>
  <pageSetup paperSize="8" scale="60" orientation="landscape"/>
  <headerFooter>
    <oddHeader>&amp;L000000</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2</v>
      </c>
      <c r="B1" s="7"/>
      <c r="C1" s="7"/>
      <c r="D1" s="7"/>
      <c r="E1" s="7"/>
      <c r="F1" s="7"/>
      <c r="G1" s="7"/>
      <c r="H1" s="8"/>
      <c r="I1" s="9"/>
      <c r="J1" s="9"/>
      <c r="K1" s="9"/>
      <c r="L1" s="9"/>
      <c r="M1" s="3"/>
      <c r="N1" s="3"/>
      <c r="O1" s="3"/>
      <c r="P1" s="3"/>
      <c r="Q1" s="3"/>
      <c r="R1" s="3"/>
      <c r="S1" s="3"/>
      <c r="T1" s="3"/>
      <c r="U1" s="3"/>
      <c r="V1" s="3"/>
      <c r="W1" s="3"/>
      <c r="X1" s="3"/>
      <c r="Y1" s="3"/>
      <c r="Z1" s="3"/>
    </row>
    <row r="2" ht="201.0" customHeight="1">
      <c r="A2" s="76" t="s">
        <v>108</v>
      </c>
      <c r="B2" s="7"/>
      <c r="C2" s="7"/>
      <c r="D2" s="7"/>
      <c r="E2" s="7"/>
      <c r="F2" s="7"/>
      <c r="G2" s="7"/>
      <c r="H2" s="8"/>
      <c r="I2" s="59"/>
      <c r="J2" s="11"/>
      <c r="K2" s="11"/>
      <c r="L2" s="11"/>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71"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63"/>
      <c r="B11" s="63"/>
      <c r="C11" s="23" t="s">
        <v>11</v>
      </c>
      <c r="D11" s="23" t="s">
        <v>12</v>
      </c>
      <c r="E11" s="23" t="s">
        <v>13</v>
      </c>
      <c r="F11" s="78" t="s">
        <v>14</v>
      </c>
      <c r="G11" s="78" t="s">
        <v>15</v>
      </c>
      <c r="H11" s="78" t="s">
        <v>16</v>
      </c>
      <c r="I11" s="3"/>
      <c r="J11" s="3"/>
      <c r="K11" s="3"/>
      <c r="L11" s="3"/>
      <c r="M11" s="3"/>
      <c r="N11" s="3"/>
      <c r="O11" s="3"/>
      <c r="P11" s="3"/>
      <c r="Q11" s="3"/>
      <c r="R11" s="3"/>
      <c r="S11" s="3"/>
      <c r="T11" s="3"/>
      <c r="U11" s="3"/>
      <c r="V11" s="3"/>
      <c r="W11" s="3"/>
      <c r="X11" s="3"/>
      <c r="Y11" s="3"/>
      <c r="Z11" s="3"/>
    </row>
    <row r="12" ht="47.25" customHeight="1">
      <c r="A12" s="25" t="s">
        <v>109</v>
      </c>
      <c r="B12" s="79" t="s">
        <v>110</v>
      </c>
      <c r="C12" s="80"/>
      <c r="D12" s="60"/>
      <c r="E12" s="64"/>
      <c r="F12" s="61"/>
      <c r="G12" s="61"/>
      <c r="H12" s="61"/>
      <c r="I12" s="3"/>
      <c r="J12" s="3"/>
      <c r="K12" s="3"/>
      <c r="L12" s="3"/>
      <c r="M12" s="3"/>
      <c r="N12" s="3"/>
      <c r="O12" s="3"/>
      <c r="P12" s="3"/>
      <c r="Q12" s="3"/>
      <c r="R12" s="3"/>
      <c r="S12" s="3"/>
      <c r="T12" s="3"/>
      <c r="U12" s="3"/>
      <c r="V12" s="3"/>
      <c r="W12" s="3"/>
      <c r="X12" s="3"/>
      <c r="Y12" s="3"/>
      <c r="Z12" s="3"/>
    </row>
    <row r="13" ht="47.25" customHeight="1">
      <c r="A13" s="29"/>
      <c r="B13" s="39"/>
      <c r="C13" s="80"/>
      <c r="D13" s="60"/>
      <c r="E13" s="64"/>
      <c r="F13" s="29"/>
      <c r="G13" s="29"/>
      <c r="H13" s="29"/>
      <c r="I13" s="3"/>
      <c r="J13" s="3"/>
      <c r="K13" s="3"/>
      <c r="L13" s="3"/>
      <c r="M13" s="3"/>
      <c r="N13" s="81"/>
      <c r="O13" s="3"/>
      <c r="P13" s="3"/>
      <c r="Q13" s="3"/>
      <c r="R13" s="3"/>
      <c r="S13" s="3"/>
      <c r="T13" s="3"/>
      <c r="U13" s="3"/>
      <c r="V13" s="3"/>
      <c r="W13" s="3"/>
      <c r="X13" s="3"/>
      <c r="Y13" s="3"/>
      <c r="Z13" s="3"/>
    </row>
    <row r="14" ht="47.25" customHeight="1">
      <c r="A14" s="22"/>
      <c r="B14" s="39"/>
      <c r="C14" s="80"/>
      <c r="D14" s="60"/>
      <c r="E14" s="64"/>
      <c r="F14" s="22"/>
      <c r="G14" s="22"/>
      <c r="H14" s="22"/>
      <c r="I14" s="3"/>
      <c r="J14" s="3"/>
      <c r="K14" s="3"/>
      <c r="L14" s="3"/>
      <c r="M14" s="3"/>
      <c r="N14" s="81"/>
      <c r="O14" s="3"/>
      <c r="P14" s="3"/>
      <c r="Q14" s="3"/>
      <c r="R14" s="3"/>
      <c r="S14" s="3"/>
      <c r="T14" s="3"/>
      <c r="U14" s="3"/>
      <c r="V14" s="3"/>
      <c r="W14" s="3"/>
      <c r="X14" s="3"/>
      <c r="Y14" s="3"/>
      <c r="Z14" s="3"/>
    </row>
    <row r="15" ht="47.25" customHeight="1">
      <c r="A15" s="25" t="s">
        <v>111</v>
      </c>
      <c r="B15" s="39"/>
      <c r="C15" s="80"/>
      <c r="D15" s="60"/>
      <c r="E15" s="64"/>
      <c r="F15" s="61"/>
      <c r="G15" s="61"/>
      <c r="H15" s="61"/>
      <c r="I15" s="3"/>
      <c r="J15" s="3"/>
      <c r="K15" s="3"/>
      <c r="L15" s="3"/>
      <c r="M15" s="3"/>
      <c r="N15" s="81"/>
      <c r="O15" s="3"/>
      <c r="P15" s="3"/>
      <c r="Q15" s="3"/>
      <c r="R15" s="3"/>
      <c r="S15" s="3"/>
      <c r="T15" s="3"/>
      <c r="U15" s="3"/>
      <c r="V15" s="3"/>
      <c r="W15" s="3"/>
      <c r="X15" s="3"/>
      <c r="Y15" s="3"/>
      <c r="Z15" s="3"/>
    </row>
    <row r="16" ht="47.25" customHeight="1">
      <c r="A16" s="22"/>
      <c r="B16" s="39"/>
      <c r="C16" s="80"/>
      <c r="D16" s="60"/>
      <c r="E16" s="64"/>
      <c r="F16" s="22"/>
      <c r="G16" s="22"/>
      <c r="H16" s="22"/>
      <c r="I16" s="3"/>
      <c r="J16" s="3"/>
      <c r="K16" s="3"/>
      <c r="L16" s="3"/>
      <c r="M16" s="3"/>
      <c r="N16" s="81"/>
      <c r="O16" s="3"/>
      <c r="P16" s="3"/>
      <c r="Q16" s="3"/>
      <c r="R16" s="3"/>
      <c r="S16" s="3"/>
      <c r="T16" s="3"/>
      <c r="U16" s="3"/>
      <c r="V16" s="3"/>
      <c r="W16" s="3"/>
      <c r="X16" s="3"/>
      <c r="Y16" s="3"/>
      <c r="Z16" s="3"/>
    </row>
    <row r="17" ht="31.5" customHeight="1">
      <c r="A17" s="82" t="s">
        <v>112</v>
      </c>
      <c r="B17" s="83" t="s">
        <v>113</v>
      </c>
      <c r="C17" s="60"/>
      <c r="D17" s="60"/>
      <c r="E17" s="80"/>
      <c r="F17" s="84"/>
      <c r="G17" s="84"/>
      <c r="H17" s="84"/>
      <c r="I17" s="3"/>
      <c r="J17" s="3"/>
      <c r="K17" s="3"/>
      <c r="L17" s="3"/>
      <c r="M17" s="3"/>
      <c r="N17" s="3"/>
      <c r="O17" s="3"/>
      <c r="P17" s="3"/>
      <c r="Q17" s="3"/>
      <c r="R17" s="3"/>
      <c r="S17" s="3"/>
      <c r="T17" s="3"/>
      <c r="U17" s="3"/>
      <c r="V17" s="3"/>
      <c r="W17" s="3"/>
      <c r="X17" s="3"/>
      <c r="Y17" s="3"/>
      <c r="Z17" s="3"/>
    </row>
    <row r="18" ht="31.5" customHeight="1">
      <c r="A18" s="29"/>
      <c r="B18" s="83" t="s">
        <v>114</v>
      </c>
      <c r="C18" s="60"/>
      <c r="D18" s="60"/>
      <c r="E18" s="80"/>
      <c r="F18" s="29"/>
      <c r="G18" s="29"/>
      <c r="H18" s="29"/>
      <c r="I18" s="3"/>
      <c r="J18" s="3"/>
      <c r="K18" s="3"/>
      <c r="L18" s="3"/>
      <c r="M18" s="3"/>
      <c r="N18" s="3"/>
      <c r="O18" s="3"/>
      <c r="P18" s="3"/>
      <c r="Q18" s="3"/>
      <c r="R18" s="3"/>
      <c r="S18" s="3"/>
      <c r="T18" s="3"/>
      <c r="U18" s="3"/>
      <c r="V18" s="3"/>
      <c r="W18" s="3"/>
      <c r="X18" s="3"/>
      <c r="Y18" s="3"/>
      <c r="Z18" s="3"/>
    </row>
    <row r="19" ht="31.5" customHeight="1">
      <c r="A19" s="29"/>
      <c r="B19" s="83" t="s">
        <v>115</v>
      </c>
      <c r="C19" s="60"/>
      <c r="D19" s="60"/>
      <c r="E19" s="80"/>
      <c r="F19" s="29"/>
      <c r="G19" s="29"/>
      <c r="H19" s="29"/>
      <c r="I19" s="3"/>
      <c r="J19" s="3"/>
      <c r="K19" s="3"/>
      <c r="L19" s="3"/>
      <c r="M19" s="3"/>
      <c r="N19" s="3"/>
      <c r="O19" s="3"/>
      <c r="P19" s="3"/>
      <c r="Q19" s="3"/>
      <c r="R19" s="3"/>
      <c r="S19" s="3"/>
      <c r="T19" s="3"/>
      <c r="U19" s="3"/>
      <c r="V19" s="3"/>
      <c r="W19" s="3"/>
      <c r="X19" s="3"/>
      <c r="Y19" s="3"/>
      <c r="Z19" s="3"/>
    </row>
    <row r="20" ht="31.5" customHeight="1">
      <c r="A20" s="22"/>
      <c r="B20" s="83" t="s">
        <v>116</v>
      </c>
      <c r="C20" s="60"/>
      <c r="D20" s="60"/>
      <c r="E20" s="80"/>
      <c r="F20" s="22"/>
      <c r="G20" s="22"/>
      <c r="H20" s="22"/>
      <c r="I20" s="3"/>
      <c r="J20" s="3"/>
      <c r="K20" s="3"/>
      <c r="L20" s="3"/>
      <c r="M20" s="3"/>
      <c r="N20" s="3"/>
      <c r="O20" s="3"/>
      <c r="P20" s="3"/>
      <c r="Q20" s="3"/>
      <c r="R20" s="3"/>
      <c r="S20" s="3"/>
      <c r="T20" s="3"/>
      <c r="U20" s="3"/>
      <c r="V20" s="3"/>
      <c r="W20" s="3"/>
      <c r="X20" s="3"/>
      <c r="Y20" s="3"/>
      <c r="Z20" s="3"/>
    </row>
    <row r="21" ht="25.5" customHeight="1">
      <c r="A21" s="12"/>
      <c r="B21" s="12"/>
      <c r="C21" s="12"/>
      <c r="D21" s="12"/>
      <c r="E21" s="30" t="s">
        <v>33</v>
      </c>
      <c r="F21" s="31"/>
      <c r="G21" s="5" t="s">
        <v>34</v>
      </c>
      <c r="H21" s="85" t="str">
        <f>IF(AND(OR(F12="X", H12="X"), OR(F15="X",H15= "X"),OR(F17="X",H17="X")), "X", "")</f>
        <v/>
      </c>
      <c r="I21" s="3"/>
      <c r="J21" s="3"/>
      <c r="K21" s="3"/>
      <c r="L21" s="3"/>
      <c r="M21" s="3"/>
      <c r="N21" s="3"/>
      <c r="O21" s="3"/>
      <c r="P21" s="3"/>
      <c r="Q21" s="3"/>
      <c r="R21" s="3"/>
      <c r="S21" s="3"/>
      <c r="T21" s="3"/>
      <c r="U21" s="3"/>
      <c r="V21" s="3"/>
      <c r="W21" s="3"/>
      <c r="X21" s="3"/>
      <c r="Y21" s="3"/>
      <c r="Z21" s="3"/>
    </row>
    <row r="22" ht="25.5" customHeight="1">
      <c r="A22" s="12"/>
      <c r="B22" s="12"/>
      <c r="C22" s="12"/>
      <c r="D22" s="12"/>
      <c r="E22" s="33"/>
      <c r="F22" s="34"/>
      <c r="G22" s="5" t="s">
        <v>35</v>
      </c>
      <c r="H22" s="32" t="str">
        <f>IF(OR(G12="X",G17= "X",G15="X"), "X", "")</f>
        <v/>
      </c>
      <c r="I22" s="3"/>
      <c r="J22" s="3"/>
      <c r="K22" s="3"/>
      <c r="L22" s="3"/>
      <c r="M22" s="3"/>
      <c r="N22" s="3"/>
      <c r="O22" s="3"/>
      <c r="P22" s="3"/>
      <c r="Q22" s="3"/>
      <c r="R22" s="3"/>
      <c r="S22" s="3"/>
      <c r="T22" s="3"/>
      <c r="U22" s="3"/>
      <c r="V22" s="3"/>
      <c r="W22" s="3"/>
      <c r="X22" s="3"/>
      <c r="Y22" s="3"/>
      <c r="Z22" s="3"/>
    </row>
    <row r="23" ht="34.5" customHeight="1">
      <c r="A23" s="12"/>
      <c r="B23" s="12"/>
      <c r="C23" s="12"/>
      <c r="D23" s="12"/>
      <c r="E23" s="12"/>
      <c r="F23" s="15"/>
      <c r="G23" s="15"/>
      <c r="H23" s="12"/>
      <c r="I23" s="3"/>
      <c r="J23" s="3"/>
      <c r="K23" s="3"/>
      <c r="L23" s="3"/>
      <c r="M23" s="3"/>
      <c r="N23" s="3"/>
      <c r="O23" s="3"/>
      <c r="P23" s="3"/>
      <c r="Q23" s="3"/>
      <c r="R23" s="3"/>
      <c r="S23" s="3"/>
      <c r="T23" s="3"/>
      <c r="U23" s="3"/>
      <c r="V23" s="3"/>
      <c r="W23" s="3"/>
      <c r="X23" s="3"/>
      <c r="Y23" s="3"/>
      <c r="Z23" s="3"/>
    </row>
    <row r="24" ht="34.5" customHeight="1">
      <c r="A24" s="5" t="s">
        <v>36</v>
      </c>
      <c r="B24" s="12"/>
      <c r="C24" s="12"/>
      <c r="D24" s="12"/>
      <c r="E24" s="12"/>
      <c r="F24" s="12"/>
      <c r="G24" s="12"/>
      <c r="H24" s="12"/>
      <c r="I24" s="3"/>
      <c r="J24" s="3"/>
      <c r="K24" s="3"/>
      <c r="L24" s="3"/>
      <c r="M24" s="3"/>
      <c r="N24" s="3"/>
      <c r="O24" s="3"/>
      <c r="P24" s="3"/>
      <c r="Q24" s="3"/>
      <c r="R24" s="3"/>
      <c r="S24" s="3"/>
      <c r="T24" s="3"/>
      <c r="U24" s="3"/>
      <c r="V24" s="3"/>
      <c r="W24" s="3"/>
      <c r="X24" s="3"/>
      <c r="Y24" s="3"/>
      <c r="Z24" s="3"/>
    </row>
    <row r="25" ht="34.5" customHeight="1">
      <c r="A25" s="36"/>
      <c r="B25" s="37"/>
      <c r="C25" s="37"/>
      <c r="D25" s="37"/>
      <c r="E25" s="37"/>
      <c r="F25" s="37"/>
      <c r="G25" s="37"/>
      <c r="H25" s="31"/>
      <c r="I25" s="3"/>
      <c r="J25" s="3"/>
      <c r="K25" s="3"/>
      <c r="L25" s="3"/>
      <c r="M25" s="3"/>
      <c r="N25" s="3"/>
      <c r="O25" s="3"/>
      <c r="P25" s="3"/>
      <c r="Q25" s="3"/>
      <c r="R25" s="3"/>
      <c r="S25" s="3"/>
      <c r="T25" s="3"/>
      <c r="U25" s="3"/>
      <c r="V25" s="3"/>
      <c r="W25" s="3"/>
      <c r="X25" s="3"/>
      <c r="Y25" s="3"/>
      <c r="Z25" s="3"/>
    </row>
    <row r="26" ht="34.5" customHeight="1">
      <c r="A26" s="38"/>
      <c r="H26" s="39"/>
      <c r="I26" s="3"/>
      <c r="J26" s="3"/>
      <c r="K26" s="3"/>
      <c r="L26" s="3"/>
      <c r="M26" s="3"/>
      <c r="N26" s="3"/>
      <c r="O26" s="3"/>
      <c r="P26" s="3"/>
      <c r="Q26" s="3"/>
      <c r="R26" s="3"/>
      <c r="S26" s="3"/>
      <c r="T26" s="3"/>
      <c r="U26" s="3"/>
      <c r="V26" s="3"/>
      <c r="W26" s="3"/>
      <c r="X26" s="3"/>
      <c r="Y26" s="3"/>
      <c r="Z26" s="3"/>
    </row>
    <row r="27" ht="34.5" customHeight="1">
      <c r="A27" s="33"/>
      <c r="B27" s="40"/>
      <c r="C27" s="40"/>
      <c r="D27" s="40"/>
      <c r="E27" s="40"/>
      <c r="F27" s="40"/>
      <c r="G27" s="40"/>
      <c r="H27" s="34"/>
      <c r="I27" s="3"/>
      <c r="J27" s="3"/>
      <c r="K27" s="3"/>
      <c r="L27" s="3"/>
      <c r="M27" s="3"/>
      <c r="N27" s="3"/>
      <c r="O27" s="3"/>
      <c r="P27" s="3"/>
      <c r="Q27" s="3"/>
      <c r="R27" s="3"/>
      <c r="S27" s="3"/>
      <c r="T27" s="3"/>
      <c r="U27" s="3"/>
      <c r="V27" s="3"/>
      <c r="W27" s="3"/>
      <c r="X27" s="3"/>
      <c r="Y27" s="3"/>
      <c r="Z27" s="3"/>
    </row>
    <row r="28" ht="34.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4.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F10:H10"/>
    <mergeCell ref="F12:F14"/>
    <mergeCell ref="G12:G14"/>
    <mergeCell ref="H12:H14"/>
    <mergeCell ref="A15:A16"/>
    <mergeCell ref="F15:F16"/>
    <mergeCell ref="A17:A20"/>
    <mergeCell ref="F17:F20"/>
    <mergeCell ref="G17:G20"/>
    <mergeCell ref="H17:H20"/>
    <mergeCell ref="E21:F22"/>
    <mergeCell ref="A25:H27"/>
    <mergeCell ref="G15:G16"/>
    <mergeCell ref="H15:H16"/>
    <mergeCell ref="A1:H1"/>
    <mergeCell ref="A2:H2"/>
    <mergeCell ref="A10:A11"/>
    <mergeCell ref="B10:B11"/>
    <mergeCell ref="C10:E10"/>
    <mergeCell ref="A12:A14"/>
    <mergeCell ref="B12:B16"/>
  </mergeCells>
  <conditionalFormatting sqref="A25:H27 B4 B7">
    <cfRule type="containsBlanks" dxfId="0" priority="1">
      <formula>LEN(TRIM(A25))=0</formula>
    </cfRule>
  </conditionalFormatting>
  <conditionalFormatting sqref="B5">
    <cfRule type="containsBlanks" dxfId="3" priority="2" stopIfTrue="1">
      <formula>LEN(TRIM(B5))=0</formula>
    </cfRule>
  </conditionalFormatting>
  <conditionalFormatting sqref="C12:H12 C13:E16 C17:H17 C18:E20">
    <cfRule type="containsBlanks" dxfId="0" priority="3">
      <formula>LEN(TRIM(C12))=0</formula>
    </cfRule>
  </conditionalFormatting>
  <conditionalFormatting sqref="H21:H22">
    <cfRule type="containsBlanks" dxfId="0" priority="4">
      <formula>LEN(TRIM(H21))=0</formula>
    </cfRule>
  </conditionalFormatting>
  <conditionalFormatting sqref="F15:H15">
    <cfRule type="containsBlanks" dxfId="0" priority="5">
      <formula>LEN(TRIM(F15))=0</formula>
    </cfRule>
  </conditionalFormatting>
  <dataValidations>
    <dataValidation type="list" allowBlank="1" showErrorMessage="1" sqref="C12:H12 C13:E14 C15:H15 C16:E16 C17:H17 C18:E20">
      <formula1>"X"</formula1>
    </dataValidation>
    <dataValidation type="custom" allowBlank="1" showInputMessage="1" showErrorMessage="1" prompt="Erreur de saisie - Le commentaire est obligatoire. Veuillez remplir cette section" sqref="A25">
      <formula1>GT(LEN(A25),(2))</formula1>
    </dataValidation>
  </dataValidations>
  <printOptions/>
  <pageMargins bottom="0.748031496062992" footer="0.0" header="0.0" left="0.708661417322835" right="0.708661417322835" top="0.748031496062992"/>
  <pageSetup paperSize="8" scale="60" orientation="landscape"/>
  <headerFooter>
    <oddHeader>&amp;L000000</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43"/>
    <col customWidth="1" min="2" max="2" width="37.86"/>
    <col customWidth="1" min="3" max="3" width="37.43"/>
    <col customWidth="1" min="4" max="4" width="33.43"/>
    <col customWidth="1" min="5" max="5" width="25.43"/>
    <col customWidth="1" min="6" max="26" width="21.43"/>
  </cols>
  <sheetData>
    <row r="1" ht="84.0" customHeight="1">
      <c r="A1" s="41" t="s">
        <v>2</v>
      </c>
      <c r="J1" s="9"/>
      <c r="K1" s="9"/>
      <c r="L1" s="9"/>
      <c r="M1" s="3"/>
      <c r="N1" s="3"/>
      <c r="O1" s="3"/>
      <c r="P1" s="3"/>
      <c r="Q1" s="3"/>
      <c r="R1" s="3"/>
      <c r="S1" s="3"/>
      <c r="T1" s="3"/>
      <c r="U1" s="3"/>
      <c r="V1" s="3"/>
      <c r="W1" s="3"/>
      <c r="X1" s="3"/>
      <c r="Y1" s="3"/>
      <c r="Z1" s="3"/>
    </row>
    <row r="2" ht="38.25" customHeight="1">
      <c r="A2" s="70" t="s">
        <v>117</v>
      </c>
      <c r="J2" s="11"/>
      <c r="K2" s="11"/>
      <c r="L2" s="11"/>
      <c r="M2" s="3"/>
      <c r="N2" s="3"/>
      <c r="O2" s="3"/>
      <c r="P2" s="3"/>
      <c r="Q2" s="3"/>
      <c r="R2" s="3"/>
      <c r="S2" s="3"/>
      <c r="T2" s="3"/>
      <c r="U2" s="3"/>
      <c r="V2" s="3"/>
      <c r="W2" s="3"/>
      <c r="X2" s="3"/>
      <c r="Y2" s="3"/>
      <c r="Z2" s="3"/>
    </row>
    <row r="3" ht="41.25" customHeight="1">
      <c r="A3" s="12"/>
      <c r="B3" s="12"/>
      <c r="C3" s="12"/>
      <c r="D3" s="12"/>
      <c r="E3" s="12"/>
      <c r="F3" s="12"/>
      <c r="G3" s="12"/>
      <c r="H3" s="12"/>
      <c r="I3" s="12"/>
      <c r="J3" s="3"/>
      <c r="K3" s="3"/>
      <c r="L3" s="3"/>
      <c r="M3" s="3"/>
      <c r="N3" s="3"/>
      <c r="O3" s="3"/>
      <c r="P3" s="3"/>
      <c r="Q3" s="3"/>
      <c r="R3" s="3"/>
      <c r="S3" s="3"/>
      <c r="T3" s="3"/>
      <c r="U3" s="3"/>
      <c r="V3" s="3"/>
      <c r="W3" s="3"/>
      <c r="X3" s="3"/>
      <c r="Y3" s="3"/>
      <c r="Z3" s="3"/>
    </row>
    <row r="4" ht="41.25" customHeight="1">
      <c r="A4" s="13" t="s">
        <v>5</v>
      </c>
      <c r="B4" s="71" t="str">
        <f>IF(NOMPRENOM="", "", NOMPRENOM)</f>
        <v/>
      </c>
      <c r="C4" s="12"/>
      <c r="D4" s="15"/>
      <c r="E4" s="12"/>
      <c r="F4" s="12"/>
      <c r="G4" s="12"/>
      <c r="H4" s="12"/>
      <c r="I4" s="12"/>
      <c r="J4" s="3"/>
      <c r="K4" s="3"/>
      <c r="L4" s="3"/>
      <c r="M4" s="3"/>
      <c r="N4" s="3"/>
      <c r="O4" s="3"/>
      <c r="P4" s="3"/>
      <c r="Q4" s="3"/>
      <c r="R4" s="3"/>
      <c r="S4" s="3"/>
      <c r="T4" s="3"/>
      <c r="U4" s="3"/>
      <c r="V4" s="3"/>
      <c r="W4" s="3"/>
      <c r="X4" s="3"/>
      <c r="Y4" s="3"/>
      <c r="Z4" s="3"/>
    </row>
    <row r="5" ht="41.25" customHeight="1">
      <c r="A5" s="3"/>
      <c r="B5" s="3"/>
      <c r="C5" s="3"/>
      <c r="D5" s="3"/>
      <c r="E5" s="3"/>
      <c r="F5" s="3"/>
      <c r="G5" s="3"/>
      <c r="H5" s="3"/>
      <c r="I5" s="3"/>
      <c r="J5" s="3"/>
      <c r="K5" s="3"/>
      <c r="L5" s="3"/>
      <c r="M5" s="3"/>
      <c r="N5" s="3"/>
      <c r="O5" s="3"/>
      <c r="P5" s="3"/>
      <c r="Q5" s="3"/>
      <c r="R5" s="3"/>
      <c r="S5" s="3"/>
      <c r="T5" s="3"/>
      <c r="U5" s="3"/>
      <c r="V5" s="3"/>
      <c r="W5" s="3"/>
      <c r="X5" s="3"/>
      <c r="Y5" s="3"/>
      <c r="Z5" s="3"/>
    </row>
    <row r="6" ht="41.25" customHeight="1">
      <c r="A6" s="44"/>
      <c r="B6" s="44"/>
      <c r="C6" s="44"/>
      <c r="D6" s="44"/>
      <c r="E6" s="3"/>
      <c r="F6" s="3"/>
      <c r="G6" s="3"/>
      <c r="H6" s="3"/>
      <c r="I6" s="3"/>
      <c r="J6" s="3"/>
      <c r="K6" s="3"/>
      <c r="L6" s="3"/>
      <c r="M6" s="3"/>
      <c r="N6" s="3"/>
      <c r="O6" s="3"/>
      <c r="P6" s="3"/>
      <c r="Q6" s="3"/>
      <c r="R6" s="3"/>
      <c r="S6" s="3"/>
      <c r="T6" s="3"/>
      <c r="U6" s="3"/>
      <c r="V6" s="3"/>
      <c r="W6" s="3"/>
      <c r="X6" s="3"/>
      <c r="Y6" s="3"/>
      <c r="Z6" s="3"/>
    </row>
    <row r="7" ht="41.25" customHeight="1">
      <c r="A7" s="3"/>
      <c r="B7" s="3"/>
      <c r="C7" s="45" t="s">
        <v>52</v>
      </c>
      <c r="D7" s="45" t="s">
        <v>53</v>
      </c>
      <c r="E7" s="3"/>
      <c r="F7" s="3"/>
      <c r="G7" s="3"/>
      <c r="H7" s="3"/>
      <c r="I7" s="3"/>
      <c r="J7" s="3"/>
      <c r="K7" s="3"/>
      <c r="L7" s="3"/>
      <c r="M7" s="3"/>
      <c r="N7" s="3"/>
      <c r="O7" s="3"/>
      <c r="P7" s="3"/>
      <c r="Q7" s="3"/>
      <c r="R7" s="3"/>
      <c r="S7" s="3"/>
      <c r="T7" s="3"/>
      <c r="U7" s="3"/>
      <c r="V7" s="3"/>
      <c r="W7" s="3"/>
      <c r="X7" s="3"/>
      <c r="Y7" s="3"/>
      <c r="Z7" s="3"/>
    </row>
    <row r="8" ht="41.25" customHeight="1">
      <c r="A8" s="46" t="s">
        <v>117</v>
      </c>
      <c r="B8" s="74" t="s">
        <v>118</v>
      </c>
      <c r="C8" s="45" t="str">
        <f>ME3.1_OUI</f>
        <v/>
      </c>
      <c r="D8" s="45" t="str">
        <f>ME3.1_NON</f>
        <v/>
      </c>
      <c r="E8" s="3"/>
      <c r="F8" s="3"/>
      <c r="G8" s="3"/>
      <c r="H8" s="3"/>
      <c r="I8" s="3"/>
      <c r="J8" s="3"/>
      <c r="K8" s="3"/>
      <c r="L8" s="3"/>
      <c r="M8" s="3"/>
      <c r="N8" s="3"/>
      <c r="O8" s="3"/>
      <c r="P8" s="3"/>
      <c r="Q8" s="3"/>
      <c r="R8" s="3"/>
      <c r="S8" s="3"/>
      <c r="T8" s="3"/>
      <c r="U8" s="3"/>
      <c r="V8" s="3"/>
      <c r="W8" s="3"/>
      <c r="X8" s="3"/>
      <c r="Y8" s="3"/>
      <c r="Z8" s="3"/>
    </row>
    <row r="9" ht="41.25" customHeight="1">
      <c r="A9" s="22"/>
      <c r="B9" s="74" t="s">
        <v>119</v>
      </c>
      <c r="C9" s="45" t="str">
        <f>ME3.2_OUI</f>
        <v/>
      </c>
      <c r="D9" s="45" t="str">
        <f>ME3.2_NON</f>
        <v/>
      </c>
      <c r="E9" s="3"/>
      <c r="F9" s="3"/>
      <c r="G9" s="3"/>
      <c r="H9" s="3"/>
      <c r="I9" s="3"/>
      <c r="J9" s="3"/>
      <c r="K9" s="3"/>
      <c r="L9" s="3"/>
      <c r="M9" s="3"/>
      <c r="N9" s="3"/>
      <c r="O9" s="3"/>
      <c r="P9" s="3"/>
      <c r="Q9" s="3"/>
      <c r="R9" s="3"/>
      <c r="S9" s="3"/>
      <c r="T9" s="3"/>
      <c r="U9" s="3"/>
      <c r="V9" s="3"/>
      <c r="W9" s="3"/>
      <c r="X9" s="3"/>
      <c r="Y9" s="3"/>
      <c r="Z9" s="3"/>
    </row>
    <row r="10" ht="41.25" customHeight="1">
      <c r="A10" s="48"/>
      <c r="B10" s="49"/>
      <c r="C10" s="50"/>
      <c r="D10" s="50"/>
      <c r="E10" s="3"/>
      <c r="F10" s="3"/>
      <c r="G10" s="3"/>
      <c r="H10" s="3"/>
      <c r="I10" s="3"/>
      <c r="J10" s="3"/>
      <c r="K10" s="3"/>
      <c r="L10" s="3"/>
      <c r="M10" s="3"/>
      <c r="N10" s="3"/>
      <c r="O10" s="3"/>
      <c r="P10" s="3"/>
      <c r="Q10" s="3"/>
      <c r="R10" s="3"/>
      <c r="S10" s="3"/>
      <c r="T10" s="3"/>
      <c r="U10" s="3"/>
      <c r="V10" s="3"/>
      <c r="W10" s="3"/>
      <c r="X10" s="3"/>
      <c r="Y10" s="3"/>
      <c r="Z10" s="3"/>
    </row>
    <row r="11" ht="41.25" customHeight="1">
      <c r="A11" s="12"/>
      <c r="B11" s="49"/>
      <c r="C11" s="17"/>
      <c r="D11" s="3"/>
      <c r="E11" s="3"/>
      <c r="F11" s="3"/>
      <c r="G11" s="3"/>
      <c r="H11" s="3"/>
      <c r="I11" s="3"/>
      <c r="J11" s="3"/>
      <c r="K11" s="3"/>
      <c r="L11" s="3"/>
      <c r="M11" s="3"/>
      <c r="N11" s="3"/>
      <c r="O11" s="3"/>
      <c r="P11" s="3"/>
      <c r="Q11" s="3"/>
      <c r="R11" s="3"/>
      <c r="S11" s="3"/>
      <c r="T11" s="3"/>
      <c r="U11" s="3"/>
      <c r="V11" s="3"/>
      <c r="W11" s="3"/>
      <c r="X11" s="3"/>
      <c r="Y11" s="3"/>
      <c r="Z11" s="3"/>
    </row>
    <row r="12" ht="41.25" customHeight="1">
      <c r="A12" s="55" t="s">
        <v>57</v>
      </c>
      <c r="B12" s="12"/>
      <c r="C12" s="12"/>
      <c r="D12" s="12"/>
      <c r="E12" s="12"/>
      <c r="F12" s="12"/>
      <c r="G12" s="12"/>
      <c r="H12" s="12"/>
      <c r="I12" s="12"/>
      <c r="J12" s="3"/>
      <c r="K12" s="3"/>
      <c r="L12" s="3"/>
      <c r="M12" s="3"/>
      <c r="N12" s="3"/>
      <c r="O12" s="3"/>
      <c r="P12" s="3"/>
      <c r="Q12" s="3"/>
      <c r="R12" s="3"/>
      <c r="S12" s="3"/>
      <c r="T12" s="3"/>
      <c r="U12" s="3"/>
      <c r="V12" s="3"/>
      <c r="W12" s="3"/>
      <c r="X12" s="3"/>
      <c r="Y12" s="3"/>
      <c r="Z12" s="3"/>
    </row>
    <row r="13" ht="41.25" customHeight="1">
      <c r="A13" s="51"/>
      <c r="B13" s="52"/>
      <c r="C13" s="52"/>
      <c r="D13" s="52"/>
      <c r="E13" s="52"/>
      <c r="F13" s="52"/>
      <c r="G13" s="52"/>
      <c r="H13" s="52"/>
      <c r="I13" s="53"/>
      <c r="J13" s="3"/>
      <c r="K13" s="3"/>
      <c r="L13" s="3"/>
      <c r="M13" s="3"/>
      <c r="N13" s="3"/>
      <c r="O13" s="3"/>
      <c r="P13" s="3"/>
      <c r="Q13" s="3"/>
      <c r="R13" s="3"/>
      <c r="S13" s="3"/>
      <c r="T13" s="3"/>
      <c r="U13" s="3"/>
      <c r="V13" s="3"/>
      <c r="W13" s="3"/>
      <c r="X13" s="3"/>
      <c r="Y13" s="3"/>
      <c r="Z13" s="3"/>
    </row>
    <row r="14" ht="41.25" customHeight="1">
      <c r="A14" s="38"/>
      <c r="I14" s="39"/>
      <c r="J14" s="3"/>
      <c r="K14" s="3"/>
      <c r="L14" s="3"/>
      <c r="M14" s="3"/>
      <c r="N14" s="3"/>
      <c r="O14" s="3"/>
      <c r="P14" s="3"/>
      <c r="Q14" s="3"/>
      <c r="R14" s="3"/>
      <c r="S14" s="3"/>
      <c r="T14" s="3"/>
      <c r="U14" s="3"/>
      <c r="V14" s="3"/>
      <c r="W14" s="3"/>
      <c r="X14" s="3"/>
      <c r="Y14" s="3"/>
      <c r="Z14" s="3"/>
    </row>
    <row r="15" ht="41.25" customHeight="1">
      <c r="A15" s="38"/>
      <c r="I15" s="39"/>
      <c r="J15" s="3"/>
      <c r="K15" s="3"/>
      <c r="L15" s="3"/>
      <c r="M15" s="3"/>
      <c r="N15" s="3"/>
      <c r="O15" s="3"/>
      <c r="P15" s="3"/>
      <c r="Q15" s="3"/>
      <c r="R15" s="3"/>
      <c r="S15" s="3"/>
      <c r="T15" s="3"/>
      <c r="U15" s="3"/>
      <c r="V15" s="3"/>
      <c r="W15" s="3"/>
      <c r="X15" s="3"/>
      <c r="Y15" s="3"/>
      <c r="Z15" s="3"/>
    </row>
    <row r="16" ht="41.25" customHeight="1">
      <c r="A16" s="33"/>
      <c r="B16" s="40"/>
      <c r="C16" s="40"/>
      <c r="D16" s="40"/>
      <c r="E16" s="40"/>
      <c r="F16" s="40"/>
      <c r="G16" s="40"/>
      <c r="H16" s="40"/>
      <c r="I16" s="34"/>
      <c r="J16" s="3"/>
      <c r="K16" s="3"/>
      <c r="L16" s="3"/>
      <c r="M16" s="3"/>
      <c r="N16" s="3"/>
      <c r="O16" s="3"/>
      <c r="P16" s="3"/>
      <c r="Q16" s="3"/>
      <c r="R16" s="3"/>
      <c r="S16" s="3"/>
      <c r="T16" s="3"/>
      <c r="U16" s="3"/>
      <c r="V16" s="3"/>
      <c r="W16" s="3"/>
      <c r="X16" s="3"/>
      <c r="Y16" s="3"/>
      <c r="Z16" s="3"/>
    </row>
    <row r="17" ht="41.25" customHeight="1">
      <c r="A17" s="12"/>
      <c r="B17" s="49"/>
      <c r="C17" s="17"/>
      <c r="D17" s="3"/>
      <c r="E17" s="3"/>
      <c r="F17" s="3"/>
      <c r="G17" s="3"/>
      <c r="H17" s="3"/>
      <c r="I17" s="3"/>
      <c r="J17" s="3"/>
      <c r="K17" s="3"/>
      <c r="L17" s="3"/>
      <c r="M17" s="3"/>
      <c r="N17" s="3"/>
      <c r="O17" s="3"/>
      <c r="P17" s="3"/>
      <c r="Q17" s="3"/>
      <c r="R17" s="3"/>
      <c r="S17" s="3"/>
      <c r="T17" s="3"/>
      <c r="U17" s="3"/>
      <c r="V17" s="3"/>
      <c r="W17" s="3"/>
      <c r="X17" s="3"/>
      <c r="Y17" s="3"/>
      <c r="Z17" s="3"/>
    </row>
    <row r="18" ht="41.25" customHeight="1">
      <c r="A18" s="12"/>
      <c r="B18" s="49"/>
      <c r="C18" s="17"/>
      <c r="D18" s="3"/>
      <c r="E18" s="3"/>
      <c r="F18" s="3"/>
      <c r="G18" s="3"/>
      <c r="H18" s="3"/>
      <c r="I18" s="3"/>
      <c r="J18" s="3"/>
      <c r="K18" s="3"/>
      <c r="L18" s="3"/>
      <c r="M18" s="3"/>
      <c r="N18" s="3"/>
      <c r="O18" s="3"/>
      <c r="P18" s="3"/>
      <c r="Q18" s="3"/>
      <c r="R18" s="3"/>
      <c r="S18" s="3"/>
      <c r="T18" s="3"/>
      <c r="U18" s="3"/>
      <c r="V18" s="3"/>
      <c r="W18" s="3"/>
      <c r="X18" s="3"/>
      <c r="Y18" s="3"/>
      <c r="Z18" s="3"/>
    </row>
    <row r="19" ht="41.25" customHeight="1">
      <c r="A19" s="12"/>
      <c r="B19" s="49"/>
      <c r="C19" s="17"/>
      <c r="D19" s="3"/>
      <c r="E19" s="3"/>
      <c r="F19" s="3"/>
      <c r="G19" s="3"/>
      <c r="H19" s="3"/>
      <c r="I19" s="3"/>
      <c r="J19" s="3"/>
      <c r="K19" s="3"/>
      <c r="L19" s="3"/>
      <c r="M19" s="3"/>
      <c r="N19" s="3"/>
      <c r="O19" s="3"/>
      <c r="P19" s="3"/>
      <c r="Q19" s="3"/>
      <c r="R19" s="3"/>
      <c r="S19" s="3"/>
      <c r="T19" s="3"/>
      <c r="U19" s="3"/>
      <c r="V19" s="3"/>
      <c r="W19" s="3"/>
      <c r="X19" s="3"/>
      <c r="Y19" s="3"/>
      <c r="Z19" s="3"/>
    </row>
    <row r="20" ht="41.25" customHeight="1">
      <c r="A20" s="54" t="s">
        <v>58</v>
      </c>
      <c r="B20" s="21"/>
      <c r="C20" s="21"/>
      <c r="D20" s="21"/>
      <c r="E20" s="21"/>
      <c r="F20" s="21"/>
      <c r="G20" s="21"/>
      <c r="H20" s="21"/>
      <c r="I20" s="2"/>
      <c r="J20" s="3"/>
      <c r="K20" s="3"/>
      <c r="L20" s="3"/>
      <c r="M20" s="3"/>
      <c r="N20" s="3"/>
      <c r="O20" s="3"/>
      <c r="P20" s="3"/>
      <c r="Q20" s="3"/>
      <c r="R20" s="3"/>
      <c r="S20" s="3"/>
      <c r="T20" s="3"/>
      <c r="U20" s="3"/>
      <c r="V20" s="3"/>
      <c r="W20" s="3"/>
      <c r="X20" s="3"/>
      <c r="Y20" s="3"/>
      <c r="Z20" s="3"/>
    </row>
    <row r="21" ht="39.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39.0" customHeight="1">
      <c r="A22" s="55" t="s">
        <v>59</v>
      </c>
      <c r="B22" s="5"/>
      <c r="C22" s="17"/>
      <c r="D22" s="3"/>
      <c r="E22" s="3"/>
      <c r="F22" s="3"/>
      <c r="G22" s="3"/>
      <c r="H22" s="3"/>
      <c r="I22" s="3"/>
      <c r="J22" s="3"/>
      <c r="K22" s="3"/>
      <c r="L22" s="3"/>
      <c r="M22" s="3"/>
      <c r="N22" s="3"/>
      <c r="O22" s="3"/>
      <c r="P22" s="3"/>
      <c r="Q22" s="3"/>
      <c r="R22" s="3"/>
      <c r="S22" s="3"/>
      <c r="T22" s="3"/>
      <c r="U22" s="3"/>
      <c r="V22" s="3"/>
      <c r="W22" s="3"/>
      <c r="X22" s="3"/>
      <c r="Y22" s="3"/>
      <c r="Z22" s="3"/>
    </row>
    <row r="23" ht="39.0" customHeight="1">
      <c r="A23" s="12"/>
      <c r="B23" s="49"/>
      <c r="C23" s="17"/>
      <c r="D23" s="3"/>
      <c r="E23" s="3"/>
      <c r="F23" s="3"/>
      <c r="G23" s="3"/>
      <c r="H23" s="3"/>
      <c r="I23" s="3"/>
      <c r="J23" s="3"/>
      <c r="K23" s="3"/>
      <c r="L23" s="3"/>
      <c r="M23" s="3"/>
      <c r="N23" s="3"/>
      <c r="O23" s="3"/>
      <c r="P23" s="3"/>
      <c r="Q23" s="3"/>
      <c r="R23" s="3"/>
      <c r="S23" s="3"/>
      <c r="T23" s="3"/>
      <c r="U23" s="3"/>
      <c r="V23" s="3"/>
      <c r="W23" s="3"/>
      <c r="X23" s="3"/>
      <c r="Y23" s="3"/>
      <c r="Z23" s="3"/>
    </row>
    <row r="24" ht="39.0" customHeight="1">
      <c r="A24" s="75" t="s">
        <v>120</v>
      </c>
      <c r="B24" s="55" t="s">
        <v>34</v>
      </c>
      <c r="C24" s="45"/>
      <c r="D24" s="3"/>
      <c r="E24" s="3"/>
      <c r="F24" s="3"/>
      <c r="G24" s="3"/>
      <c r="H24" s="3"/>
      <c r="I24" s="3"/>
      <c r="J24" s="3"/>
      <c r="K24" s="3"/>
      <c r="L24" s="3"/>
      <c r="M24" s="3"/>
      <c r="N24" s="3"/>
      <c r="O24" s="3"/>
      <c r="P24" s="3"/>
      <c r="Q24" s="3"/>
      <c r="R24" s="3"/>
      <c r="S24" s="3"/>
      <c r="T24" s="3"/>
      <c r="U24" s="3"/>
      <c r="V24" s="3"/>
      <c r="W24" s="3"/>
      <c r="X24" s="3"/>
      <c r="Y24" s="3"/>
      <c r="Z24" s="3"/>
    </row>
    <row r="25" ht="39.0" customHeight="1">
      <c r="A25" s="22"/>
      <c r="B25" s="55" t="s">
        <v>35</v>
      </c>
      <c r="C25" s="45"/>
      <c r="D25" s="3"/>
      <c r="E25" s="3"/>
      <c r="F25" s="3"/>
      <c r="G25" s="3"/>
      <c r="H25" s="3"/>
      <c r="I25" s="3"/>
      <c r="J25" s="3"/>
      <c r="K25" s="3"/>
      <c r="L25" s="3"/>
      <c r="M25" s="3"/>
      <c r="N25" s="3"/>
      <c r="O25" s="3"/>
      <c r="P25" s="3"/>
      <c r="Q25" s="3"/>
      <c r="R25" s="3"/>
      <c r="S25" s="3"/>
      <c r="T25" s="3"/>
      <c r="U25" s="3"/>
      <c r="V25" s="3"/>
      <c r="W25" s="3"/>
      <c r="X25" s="3"/>
      <c r="Y25" s="3"/>
      <c r="Z25" s="3"/>
    </row>
    <row r="26" ht="39.0" customHeight="1">
      <c r="A26" s="12"/>
      <c r="B26" s="12"/>
      <c r="C26" s="12"/>
      <c r="D26" s="3"/>
      <c r="E26" s="3"/>
      <c r="F26" s="3"/>
      <c r="G26" s="3"/>
      <c r="H26" s="3"/>
      <c r="I26" s="3"/>
      <c r="J26" s="3"/>
      <c r="K26" s="3"/>
      <c r="L26" s="3"/>
      <c r="M26" s="3"/>
      <c r="N26" s="3"/>
      <c r="O26" s="3"/>
      <c r="P26" s="3"/>
      <c r="Q26" s="3"/>
      <c r="R26" s="3"/>
      <c r="S26" s="3"/>
      <c r="T26" s="3"/>
      <c r="U26" s="3"/>
      <c r="V26" s="3"/>
      <c r="W26" s="3"/>
      <c r="X26" s="3"/>
      <c r="Y26" s="3"/>
      <c r="Z26" s="3"/>
    </row>
    <row r="27" ht="39.0" customHeight="1">
      <c r="A27" s="12"/>
      <c r="B27" s="12"/>
      <c r="C27" s="12"/>
      <c r="D27" s="3"/>
      <c r="E27" s="3"/>
      <c r="F27" s="3"/>
      <c r="G27" s="3"/>
      <c r="H27" s="3"/>
      <c r="I27" s="3"/>
      <c r="J27" s="3"/>
      <c r="K27" s="3"/>
      <c r="L27" s="3"/>
      <c r="M27" s="3"/>
      <c r="N27" s="3"/>
      <c r="O27" s="3"/>
      <c r="P27" s="3"/>
      <c r="Q27" s="3"/>
      <c r="R27" s="3"/>
      <c r="S27" s="3"/>
      <c r="T27" s="3"/>
      <c r="U27" s="3"/>
      <c r="V27" s="3"/>
      <c r="W27" s="3"/>
      <c r="X27" s="3"/>
      <c r="Y27" s="3"/>
      <c r="Z27" s="3"/>
    </row>
    <row r="28" ht="39.0" customHeight="1">
      <c r="A28" s="55" t="s">
        <v>61</v>
      </c>
      <c r="B28" s="12"/>
      <c r="C28" s="12"/>
      <c r="D28" s="3"/>
      <c r="E28" s="3"/>
      <c r="F28" s="3"/>
      <c r="G28" s="3"/>
      <c r="H28" s="3"/>
      <c r="I28" s="3"/>
      <c r="J28" s="3"/>
      <c r="K28" s="3"/>
      <c r="L28" s="3"/>
      <c r="M28" s="3"/>
      <c r="N28" s="3"/>
      <c r="O28" s="3"/>
      <c r="P28" s="3"/>
      <c r="Q28" s="3"/>
      <c r="R28" s="3"/>
      <c r="S28" s="3"/>
      <c r="T28" s="3"/>
      <c r="U28" s="3"/>
      <c r="V28" s="3"/>
      <c r="W28" s="3"/>
      <c r="X28" s="3"/>
      <c r="Y28" s="3"/>
      <c r="Z28" s="3"/>
    </row>
    <row r="29" ht="39.0" customHeight="1">
      <c r="A29" s="57"/>
      <c r="B29" s="37"/>
      <c r="C29" s="37"/>
      <c r="D29" s="37"/>
      <c r="E29" s="37"/>
      <c r="F29" s="37"/>
      <c r="G29" s="37"/>
      <c r="H29" s="37"/>
      <c r="I29" s="31"/>
      <c r="J29" s="3"/>
      <c r="K29" s="3"/>
      <c r="L29" s="3"/>
      <c r="M29" s="3"/>
      <c r="N29" s="3"/>
      <c r="O29" s="3"/>
      <c r="P29" s="3"/>
      <c r="Q29" s="3"/>
      <c r="R29" s="3"/>
      <c r="S29" s="3"/>
      <c r="T29" s="3"/>
      <c r="U29" s="3"/>
      <c r="V29" s="3"/>
      <c r="W29" s="3"/>
      <c r="X29" s="3"/>
      <c r="Y29" s="3"/>
      <c r="Z29" s="3"/>
    </row>
    <row r="30" ht="39.0" customHeight="1">
      <c r="A30" s="38"/>
      <c r="I30" s="39"/>
      <c r="J30" s="3"/>
      <c r="K30" s="3"/>
      <c r="L30" s="3"/>
      <c r="M30" s="3"/>
      <c r="N30" s="3"/>
      <c r="O30" s="3"/>
      <c r="P30" s="3"/>
      <c r="Q30" s="3"/>
      <c r="R30" s="3"/>
      <c r="S30" s="3"/>
      <c r="T30" s="3"/>
      <c r="U30" s="3"/>
      <c r="V30" s="3"/>
      <c r="W30" s="3"/>
      <c r="X30" s="3"/>
      <c r="Y30" s="3"/>
      <c r="Z30" s="3"/>
    </row>
    <row r="31" ht="39.0" customHeight="1">
      <c r="A31" s="38"/>
      <c r="I31" s="39"/>
      <c r="J31" s="3"/>
      <c r="K31" s="3"/>
      <c r="L31" s="3"/>
      <c r="M31" s="3"/>
      <c r="N31" s="3"/>
      <c r="O31" s="3"/>
      <c r="P31" s="3"/>
      <c r="Q31" s="3"/>
      <c r="R31" s="3"/>
      <c r="S31" s="3"/>
      <c r="T31" s="3"/>
      <c r="U31" s="3"/>
      <c r="V31" s="3"/>
      <c r="W31" s="3"/>
      <c r="X31" s="3"/>
      <c r="Y31" s="3"/>
      <c r="Z31" s="3"/>
    </row>
    <row r="32" ht="39.0" customHeight="1">
      <c r="A32" s="33"/>
      <c r="B32" s="40"/>
      <c r="C32" s="40"/>
      <c r="D32" s="40"/>
      <c r="E32" s="40"/>
      <c r="F32" s="40"/>
      <c r="G32" s="40"/>
      <c r="H32" s="40"/>
      <c r="I32" s="34"/>
      <c r="J32" s="3"/>
      <c r="K32" s="3"/>
      <c r="L32" s="3"/>
      <c r="M32" s="3"/>
      <c r="N32" s="3"/>
      <c r="O32" s="3"/>
      <c r="P32" s="3"/>
      <c r="Q32" s="3"/>
      <c r="R32" s="3"/>
      <c r="S32" s="3"/>
      <c r="T32" s="3"/>
      <c r="U32" s="3"/>
      <c r="V32" s="3"/>
      <c r="W32" s="3"/>
      <c r="X32" s="3"/>
      <c r="Y32" s="3"/>
      <c r="Z32" s="3"/>
    </row>
    <row r="33" ht="39.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9.0" customHeight="1">
      <c r="A34" s="55" t="s">
        <v>62</v>
      </c>
      <c r="B34" s="12"/>
      <c r="C34" s="12"/>
      <c r="D34" s="3"/>
      <c r="E34" s="3"/>
      <c r="F34" s="3"/>
      <c r="G34" s="3"/>
      <c r="H34" s="3"/>
      <c r="I34" s="3"/>
      <c r="J34" s="3"/>
      <c r="K34" s="3"/>
      <c r="L34" s="3"/>
      <c r="M34" s="3"/>
      <c r="N34" s="3"/>
      <c r="O34" s="3"/>
      <c r="P34" s="3"/>
      <c r="Q34" s="3"/>
      <c r="R34" s="3"/>
      <c r="S34" s="3"/>
      <c r="T34" s="3"/>
      <c r="U34" s="3"/>
      <c r="V34" s="3"/>
      <c r="W34" s="3"/>
      <c r="X34" s="3"/>
      <c r="Y34" s="3"/>
      <c r="Z34" s="3"/>
    </row>
    <row r="35" ht="39.0" customHeight="1">
      <c r="A35" s="57"/>
      <c r="B35" s="37"/>
      <c r="C35" s="37"/>
      <c r="D35" s="37"/>
      <c r="E35" s="37"/>
      <c r="F35" s="37"/>
      <c r="G35" s="37"/>
      <c r="H35" s="37"/>
      <c r="I35" s="31"/>
      <c r="J35" s="3"/>
      <c r="K35" s="3"/>
      <c r="L35" s="3"/>
      <c r="M35" s="3"/>
      <c r="N35" s="3"/>
      <c r="O35" s="3"/>
      <c r="P35" s="3"/>
      <c r="Q35" s="3"/>
      <c r="R35" s="3"/>
      <c r="S35" s="3"/>
      <c r="T35" s="3"/>
      <c r="U35" s="3"/>
      <c r="V35" s="3"/>
      <c r="W35" s="3"/>
      <c r="X35" s="3"/>
      <c r="Y35" s="3"/>
      <c r="Z35" s="3"/>
    </row>
    <row r="36" ht="39.0" customHeight="1">
      <c r="A36" s="38"/>
      <c r="I36" s="39"/>
      <c r="J36" s="3"/>
      <c r="K36" s="3"/>
      <c r="L36" s="3"/>
      <c r="M36" s="3"/>
      <c r="N36" s="3"/>
      <c r="O36" s="3"/>
      <c r="P36" s="3"/>
      <c r="Q36" s="3"/>
      <c r="R36" s="3"/>
      <c r="S36" s="3"/>
      <c r="T36" s="3"/>
      <c r="U36" s="3"/>
      <c r="V36" s="3"/>
      <c r="W36" s="3"/>
      <c r="X36" s="3"/>
      <c r="Y36" s="3"/>
      <c r="Z36" s="3"/>
    </row>
    <row r="37" ht="39.0" customHeight="1">
      <c r="A37" s="38"/>
      <c r="I37" s="39"/>
      <c r="J37" s="3"/>
      <c r="K37" s="3"/>
      <c r="L37" s="3"/>
      <c r="M37" s="3"/>
      <c r="N37" s="3"/>
      <c r="O37" s="3"/>
      <c r="P37" s="3"/>
      <c r="Q37" s="3"/>
      <c r="R37" s="3"/>
      <c r="S37" s="3"/>
      <c r="T37" s="3"/>
      <c r="U37" s="3"/>
      <c r="V37" s="3"/>
      <c r="W37" s="3"/>
      <c r="X37" s="3"/>
      <c r="Y37" s="3"/>
      <c r="Z37" s="3"/>
    </row>
    <row r="38" ht="39.0" customHeight="1">
      <c r="A38" s="33"/>
      <c r="B38" s="40"/>
      <c r="C38" s="40"/>
      <c r="D38" s="40"/>
      <c r="E38" s="40"/>
      <c r="F38" s="40"/>
      <c r="G38" s="40"/>
      <c r="H38" s="40"/>
      <c r="I38" s="34"/>
      <c r="J38" s="3"/>
      <c r="K38" s="3"/>
      <c r="L38" s="3"/>
      <c r="M38" s="3"/>
      <c r="N38" s="3"/>
      <c r="O38" s="3"/>
      <c r="P38" s="3"/>
      <c r="Q38" s="3"/>
      <c r="R38" s="3"/>
      <c r="S38" s="3"/>
      <c r="T38" s="3"/>
      <c r="U38" s="3"/>
      <c r="V38" s="3"/>
      <c r="W38" s="3"/>
      <c r="X38" s="3"/>
      <c r="Y38" s="3"/>
      <c r="Z38" s="3"/>
    </row>
    <row r="39" ht="39.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9.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9.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9.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9.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9.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9.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9.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9.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9.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9.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9.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9.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9.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9.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9.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9.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9.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9.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9.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9.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9.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9.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9.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9.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9.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9.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9.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9.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9.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9.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9.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9.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9.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9.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9.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9.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9.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9.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9.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9.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9.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9.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9.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9.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9.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9.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9.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9.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9.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9.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9.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9.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9.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9.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9.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9.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9.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9.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9.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9.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9.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9.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9.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9.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9.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9.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9.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9.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9.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9.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9.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9.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9.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9.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9.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9.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9.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9.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9.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9.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9.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9.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9.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9.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9.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9.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9.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9.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9.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9.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9.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9.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9.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9.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9.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9.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9.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9.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9.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9.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9.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9.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9.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9.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9.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9.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9.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9.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9.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9.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9.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9.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9.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9.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9.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9.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9.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9.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9.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9.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9.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9.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9.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9.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9.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9.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9.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9.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9.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9.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9.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9.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9.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9.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9.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9.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9.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9.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9.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9.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9.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9.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9.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9.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9.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9.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9.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9.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9.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9.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9.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9.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9.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9.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9.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9.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9.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9.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9.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9.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9.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9.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9.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9.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9.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9.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9.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9.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9.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9.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9.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9.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9.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9.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9.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9.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9.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9.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9.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9.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9.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9.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9.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9.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9.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9.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9.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9.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9.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9.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9.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9.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9.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9.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9.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9.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9.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9.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9.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9.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9.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9.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9.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9.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9.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9.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9.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9.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9.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9.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9.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9.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9.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9.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9.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9.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9.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9.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9.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9.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9.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9.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9.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9.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9.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9.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9.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9.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9.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9.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9.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9.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9.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9.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9.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9.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9.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9.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9.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9.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9.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9.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9.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9.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9.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9.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9.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9.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9.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9.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9.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9.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9.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9.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9.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9.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9.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9.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9.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9.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9.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9.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9.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9.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9.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9.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9.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9.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9.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9.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9.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9.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9.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9.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9.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9.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9.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9.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9.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9.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9.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9.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9.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9.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9.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9.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9.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9.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9.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9.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9.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9.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9.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9.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9.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9.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9.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9.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9.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9.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9.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9.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9.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9.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9.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9.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9.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9.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9.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9.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9.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9.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9.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9.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9.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9.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9.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9.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9.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9.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9.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9.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9.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9.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9.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9.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9.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9.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9.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9.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9.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9.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9.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9.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9.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9.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9.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9.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9.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9.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9.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9.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9.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9.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9.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9.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9.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9.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9.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9.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9.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9.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9.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9.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9.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9.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9.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9.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9.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9.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9.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9.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9.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9.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9.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9.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9.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9.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9.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9.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9.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9.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9.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9.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9.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9.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9.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9.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9.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9.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9.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9.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9.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9.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9.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9.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9.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9.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9.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9.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9.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9.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9.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9.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9.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9.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9.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9.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9.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9.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9.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9.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9.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9.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9.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9.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9.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9.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9.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9.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9.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9.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9.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9.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9.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9.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9.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9.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9.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9.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9.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9.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9.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9.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9.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9.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9.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9.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9.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9.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9.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9.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9.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9.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9.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9.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9.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9.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9.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9.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9.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9.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9.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9.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9.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9.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9.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9.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9.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9.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9.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9.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9.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9.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9.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9.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9.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9.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9.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9.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9.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9.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9.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9.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9.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9.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9.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9.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9.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9.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9.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9.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9.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9.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9.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9.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9.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9.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9.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9.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9.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9.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9.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9.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9.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9.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9.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9.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9.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9.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9.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9.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9.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9.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9.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9.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9.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9.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9.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9.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9.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9.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9.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9.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9.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9.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9.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9.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9.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9.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9.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9.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9.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9.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9.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9.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9.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9.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9.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9.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9.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9.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9.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9.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9.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9.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9.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9.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9.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9.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9.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9.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9.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9.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9.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9.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9.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9.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9.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9.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9.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9.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9.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9.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9.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9.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9.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9.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9.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9.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9.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9.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9.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9.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9.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9.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9.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9.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9.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9.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9.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9.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9.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9.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9.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9.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9.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9.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9.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9.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9.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9.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9.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9.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9.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9.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9.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9.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9.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9.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9.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9.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9.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9.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9.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9.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9.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9.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9.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9.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9.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9.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9.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9.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9.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9.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9.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9.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9.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9.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9.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9.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9.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9.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9.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9.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9.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9.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9.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9.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9.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9.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9.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9.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9.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9.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9.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9.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9.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9.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9.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9.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9.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9.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9.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9.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9.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9.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9.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9.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9.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9.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9.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9.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9.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9.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9.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9.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9.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9.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9.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9.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9.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9.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9.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9.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9.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9.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9.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9.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9.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9.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9.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9.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9.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9.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9.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9.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9.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9.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9.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9.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9.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9.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9.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9.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9.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9.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9.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9.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9.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9.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9.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9.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9.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9.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9.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9.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9.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9.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9.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9.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9.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9.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9.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9.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9.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9.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9.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9.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9.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9.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9.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9.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9.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9.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9.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9.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9.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9.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9.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9.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9.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9.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9.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9.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9.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9.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9.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9.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9.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9.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9.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9.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9.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9.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9.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9.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9.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9.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9.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9.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9.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9.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9.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9.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9.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9.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9.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9.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9.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9.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9.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9.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9.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9.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9.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9.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9.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9.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9.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9.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9.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9.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9.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9.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9.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9.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9.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9.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9.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9.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9.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9.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9.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9.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9.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9.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9.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9.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9.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9.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9.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9.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9.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9.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9.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9.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9.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9.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9.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9.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9.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9.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9.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9.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9.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9.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9.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9.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9.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9.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9.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9.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9.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9.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9.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9.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9.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9.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9.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9.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9.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9.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9.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9.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9.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9.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9.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9.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9.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9.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9.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9.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9.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9.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9.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9.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9.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9.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9.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9.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9.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9.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9.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9.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9.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9.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9.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9.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9.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9.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9.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9.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9.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9.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9.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9.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9.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9.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9.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9.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9.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9.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9.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9.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9.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9.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9.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9.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9.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9.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9.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9.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9.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9.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9.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9.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9.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9.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9.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9.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9.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9.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9.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9.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9.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9.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9.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9.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9.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9.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9.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9.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9.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9.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9.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9.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9.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9.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9.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9.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9.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9.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9.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9.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9.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9.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9.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9.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9.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9.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9.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9.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9.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9.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9.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9.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9.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9.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9.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9.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9.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9.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9.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9.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9.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9.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9.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9.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9.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9.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9.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9.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9.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9.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9.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9.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9.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9.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9.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9.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9.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9.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9.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9.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9.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9.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9.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9.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9.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9.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9.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9.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9.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9.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9.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9.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9.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9.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9.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9.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9.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9.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9.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9.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9.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9.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9.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9.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9.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9.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9.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9.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9.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9.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9.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9.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9.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9.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9.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9.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9.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9.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9.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9.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9.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9.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9.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9.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A1:I1"/>
    <mergeCell ref="A2:I2"/>
    <mergeCell ref="A8:A9"/>
    <mergeCell ref="A13:I16"/>
    <mergeCell ref="A20:I20"/>
    <mergeCell ref="A24:A25"/>
    <mergeCell ref="A29:I32"/>
    <mergeCell ref="A35:I38"/>
  </mergeCells>
  <conditionalFormatting sqref="A35:I38">
    <cfRule type="containsBlanks" dxfId="1" priority="1">
      <formula>LEN(TRIM(A35))=0</formula>
    </cfRule>
  </conditionalFormatting>
  <conditionalFormatting sqref="B4">
    <cfRule type="containsBlanks" dxfId="3" priority="2" stopIfTrue="1">
      <formula>LEN(TRIM(B4))=0</formula>
    </cfRule>
  </conditionalFormatting>
  <conditionalFormatting sqref="B22">
    <cfRule type="containsBlanks" dxfId="1" priority="3">
      <formula>LEN(TRIM(B22))=0</formula>
    </cfRule>
  </conditionalFormatting>
  <conditionalFormatting sqref="A29:I32 C24:C25">
    <cfRule type="containsBlanks" dxfId="1" priority="4">
      <formula>LEN(TRIM(A29))=0</formula>
    </cfRule>
  </conditionalFormatting>
  <conditionalFormatting sqref="A13:I16 C8:D9">
    <cfRule type="containsBlanks" dxfId="0" priority="5">
      <formula>LEN(TRIM(A13))=0</formula>
    </cfRule>
  </conditionalFormatting>
  <dataValidations>
    <dataValidation type="list" allowBlank="1" showErrorMessage="1" sqref="C24:C25">
      <formula1>"X"</formula1>
    </dataValidation>
  </dataValidations>
  <printOptions/>
  <pageMargins bottom="0.748031496062992" footer="0.0" header="0.0" left="0.708661417322835" right="0.708661417322835" top="0.748031496062992"/>
  <pageSetup paperSize="66" orientation="landscape"/>
  <headerFooter>
    <oddHeader>&amp;L000000</oddHeader>
  </headerFooter>
  <rowBreaks count="1" manualBreakCount="1">
    <brk id="16"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121</v>
      </c>
      <c r="B1" s="7"/>
      <c r="C1" s="7"/>
      <c r="D1" s="7"/>
      <c r="E1" s="7"/>
      <c r="F1" s="7"/>
      <c r="G1" s="7"/>
      <c r="H1" s="8"/>
      <c r="I1" s="9"/>
      <c r="J1" s="9"/>
      <c r="K1" s="9"/>
      <c r="L1" s="9"/>
      <c r="M1" s="3"/>
      <c r="N1" s="3"/>
      <c r="O1" s="3"/>
      <c r="P1" s="3"/>
      <c r="Q1" s="3"/>
      <c r="R1" s="3"/>
      <c r="S1" s="3"/>
      <c r="T1" s="3"/>
      <c r="U1" s="3"/>
      <c r="V1" s="3"/>
      <c r="W1" s="3"/>
      <c r="X1" s="3"/>
      <c r="Y1" s="3"/>
      <c r="Z1" s="3"/>
    </row>
    <row r="2" ht="195.75" customHeight="1">
      <c r="A2" s="10" t="s">
        <v>122</v>
      </c>
      <c r="I2" s="11"/>
      <c r="J2" s="11"/>
      <c r="K2" s="11"/>
      <c r="L2" s="11"/>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71"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27.75" customHeight="1">
      <c r="A12" s="25" t="s">
        <v>123</v>
      </c>
      <c r="B12" s="26" t="s">
        <v>124</v>
      </c>
      <c r="C12" s="86"/>
      <c r="D12" s="86"/>
      <c r="E12" s="86"/>
      <c r="F12" s="61"/>
      <c r="G12" s="61"/>
      <c r="H12" s="61"/>
      <c r="I12" s="3"/>
      <c r="J12" s="3"/>
      <c r="K12" s="3"/>
      <c r="L12" s="3"/>
      <c r="M12" s="3"/>
      <c r="N12" s="3"/>
      <c r="O12" s="3"/>
      <c r="P12" s="3"/>
      <c r="Q12" s="3"/>
      <c r="R12" s="3"/>
      <c r="S12" s="3"/>
      <c r="T12" s="3"/>
      <c r="U12" s="3"/>
      <c r="V12" s="3"/>
      <c r="W12" s="3"/>
      <c r="X12" s="3"/>
      <c r="Y12" s="3"/>
      <c r="Z12" s="3"/>
    </row>
    <row r="13" ht="27.75" customHeight="1">
      <c r="A13" s="29"/>
      <c r="B13" s="26" t="s">
        <v>125</v>
      </c>
      <c r="C13" s="86"/>
      <c r="D13" s="86"/>
      <c r="E13" s="86"/>
      <c r="F13" s="29"/>
      <c r="G13" s="29"/>
      <c r="H13" s="29"/>
      <c r="I13" s="3"/>
      <c r="J13" s="3"/>
      <c r="K13" s="3"/>
      <c r="L13" s="3"/>
      <c r="M13" s="3"/>
      <c r="N13" s="3"/>
      <c r="O13" s="3"/>
      <c r="P13" s="3"/>
      <c r="Q13" s="3"/>
      <c r="R13" s="3"/>
      <c r="S13" s="3"/>
      <c r="T13" s="3"/>
      <c r="U13" s="3"/>
      <c r="V13" s="3"/>
      <c r="W13" s="3"/>
      <c r="X13" s="3"/>
      <c r="Y13" s="3"/>
      <c r="Z13" s="3"/>
    </row>
    <row r="14" ht="27.75" customHeight="1">
      <c r="A14" s="22"/>
      <c r="B14" s="26" t="s">
        <v>126</v>
      </c>
      <c r="C14" s="86"/>
      <c r="D14" s="86"/>
      <c r="E14" s="86"/>
      <c r="F14" s="22"/>
      <c r="G14" s="22"/>
      <c r="H14" s="22"/>
      <c r="I14" s="3"/>
      <c r="J14" s="3"/>
      <c r="K14" s="3"/>
      <c r="L14" s="3"/>
      <c r="M14" s="3"/>
      <c r="N14" s="3"/>
      <c r="O14" s="3"/>
      <c r="P14" s="3"/>
      <c r="Q14" s="3"/>
      <c r="R14" s="3"/>
      <c r="S14" s="3"/>
      <c r="T14" s="3"/>
      <c r="U14" s="3"/>
      <c r="V14" s="3"/>
      <c r="W14" s="3"/>
      <c r="X14" s="3"/>
      <c r="Y14" s="3"/>
      <c r="Z14" s="3"/>
    </row>
    <row r="15" ht="27.75" customHeight="1">
      <c r="A15" s="25" t="s">
        <v>127</v>
      </c>
      <c r="B15" s="26" t="s">
        <v>128</v>
      </c>
      <c r="C15" s="86"/>
      <c r="D15" s="86"/>
      <c r="E15" s="86"/>
      <c r="F15" s="61"/>
      <c r="G15" s="61"/>
      <c r="H15" s="61"/>
      <c r="I15" s="3"/>
      <c r="J15" s="3"/>
      <c r="K15" s="3"/>
      <c r="L15" s="3"/>
      <c r="M15" s="3"/>
      <c r="N15" s="3"/>
      <c r="O15" s="3"/>
      <c r="P15" s="3"/>
      <c r="Q15" s="3"/>
      <c r="R15" s="3"/>
      <c r="S15" s="3"/>
      <c r="T15" s="3"/>
      <c r="U15" s="3"/>
      <c r="V15" s="3"/>
      <c r="W15" s="3"/>
      <c r="X15" s="3"/>
      <c r="Y15" s="3"/>
      <c r="Z15" s="3"/>
    </row>
    <row r="16" ht="27.75" customHeight="1">
      <c r="A16" s="29"/>
      <c r="B16" s="26" t="s">
        <v>129</v>
      </c>
      <c r="C16" s="86"/>
      <c r="D16" s="86"/>
      <c r="E16" s="86"/>
      <c r="F16" s="29"/>
      <c r="G16" s="29"/>
      <c r="H16" s="29"/>
      <c r="I16" s="3"/>
      <c r="J16" s="3"/>
      <c r="K16" s="3"/>
      <c r="L16" s="3"/>
      <c r="M16" s="3"/>
      <c r="N16" s="3"/>
      <c r="O16" s="3"/>
      <c r="P16" s="3"/>
      <c r="Q16" s="3"/>
      <c r="R16" s="3"/>
      <c r="S16" s="3"/>
      <c r="T16" s="3"/>
      <c r="U16" s="3"/>
      <c r="V16" s="3"/>
      <c r="W16" s="3"/>
      <c r="X16" s="3"/>
      <c r="Y16" s="3"/>
      <c r="Z16" s="3"/>
    </row>
    <row r="17" ht="27.75" customHeight="1">
      <c r="A17" s="22"/>
      <c r="B17" s="26" t="s">
        <v>130</v>
      </c>
      <c r="C17" s="86"/>
      <c r="D17" s="86"/>
      <c r="E17" s="86"/>
      <c r="F17" s="22"/>
      <c r="G17" s="22"/>
      <c r="H17" s="22"/>
      <c r="I17" s="3"/>
      <c r="J17" s="3"/>
      <c r="K17" s="3"/>
      <c r="L17" s="3"/>
      <c r="M17" s="3"/>
      <c r="N17" s="3"/>
      <c r="O17" s="3"/>
      <c r="P17" s="3"/>
      <c r="Q17" s="3"/>
      <c r="R17" s="3"/>
      <c r="S17" s="3"/>
      <c r="T17" s="3"/>
      <c r="U17" s="3"/>
      <c r="V17" s="3"/>
      <c r="W17" s="3"/>
      <c r="X17" s="3"/>
      <c r="Y17" s="3"/>
      <c r="Z17" s="3"/>
    </row>
    <row r="18" ht="27.75" customHeight="1">
      <c r="A18" s="25" t="s">
        <v>131</v>
      </c>
      <c r="B18" s="26" t="s">
        <v>132</v>
      </c>
      <c r="C18" s="86"/>
      <c r="D18" s="86"/>
      <c r="E18" s="86"/>
      <c r="F18" s="61"/>
      <c r="G18" s="61"/>
      <c r="H18" s="61"/>
      <c r="I18" s="3"/>
      <c r="J18" s="3"/>
      <c r="K18" s="3"/>
      <c r="L18" s="3"/>
      <c r="M18" s="3"/>
      <c r="N18" s="3"/>
      <c r="O18" s="3"/>
      <c r="P18" s="3"/>
      <c r="Q18" s="3"/>
      <c r="R18" s="3"/>
      <c r="S18" s="3"/>
      <c r="T18" s="3"/>
      <c r="U18" s="3"/>
      <c r="V18" s="3"/>
      <c r="W18" s="3"/>
      <c r="X18" s="3"/>
      <c r="Y18" s="3"/>
      <c r="Z18" s="3"/>
    </row>
    <row r="19" ht="27.75" customHeight="1">
      <c r="A19" s="29"/>
      <c r="B19" s="26" t="s">
        <v>133</v>
      </c>
      <c r="C19" s="86"/>
      <c r="D19" s="86"/>
      <c r="E19" s="86"/>
      <c r="F19" s="29"/>
      <c r="G19" s="29"/>
      <c r="H19" s="29"/>
      <c r="I19" s="3"/>
      <c r="J19" s="3"/>
      <c r="K19" s="3"/>
      <c r="L19" s="3"/>
      <c r="M19" s="3"/>
      <c r="N19" s="3"/>
      <c r="O19" s="3"/>
      <c r="P19" s="3"/>
      <c r="Q19" s="3"/>
      <c r="R19" s="3"/>
      <c r="S19" s="3"/>
      <c r="T19" s="3"/>
      <c r="U19" s="3"/>
      <c r="V19" s="3"/>
      <c r="W19" s="3"/>
      <c r="X19" s="3"/>
      <c r="Y19" s="3"/>
      <c r="Z19" s="3"/>
    </row>
    <row r="20" ht="27.75" customHeight="1">
      <c r="A20" s="22"/>
      <c r="B20" s="26" t="s">
        <v>134</v>
      </c>
      <c r="C20" s="86"/>
      <c r="D20" s="86"/>
      <c r="E20" s="86"/>
      <c r="F20" s="22"/>
      <c r="G20" s="22"/>
      <c r="H20" s="22"/>
      <c r="I20" s="3"/>
      <c r="J20" s="3"/>
      <c r="K20" s="3"/>
      <c r="L20" s="3"/>
      <c r="M20" s="3"/>
      <c r="N20" s="3"/>
      <c r="O20" s="3"/>
      <c r="P20" s="3"/>
      <c r="Q20" s="3"/>
      <c r="R20" s="3"/>
      <c r="S20" s="3"/>
      <c r="T20" s="3"/>
      <c r="U20" s="3"/>
      <c r="V20" s="3"/>
      <c r="W20" s="3"/>
      <c r="X20" s="3"/>
      <c r="Y20" s="3"/>
      <c r="Z20" s="3"/>
    </row>
    <row r="21" ht="27.75" customHeight="1">
      <c r="A21" s="25" t="s">
        <v>135</v>
      </c>
      <c r="B21" s="26" t="s">
        <v>136</v>
      </c>
      <c r="C21" s="86"/>
      <c r="D21" s="86"/>
      <c r="E21" s="86"/>
      <c r="F21" s="61"/>
      <c r="G21" s="61"/>
      <c r="H21" s="61"/>
      <c r="I21" s="3"/>
      <c r="J21" s="3"/>
      <c r="K21" s="3"/>
      <c r="L21" s="3"/>
      <c r="M21" s="3"/>
      <c r="N21" s="3"/>
      <c r="O21" s="3"/>
      <c r="P21" s="3"/>
      <c r="Q21" s="3"/>
      <c r="R21" s="3"/>
      <c r="S21" s="3"/>
      <c r="T21" s="3"/>
      <c r="U21" s="3"/>
      <c r="V21" s="3"/>
      <c r="W21" s="3"/>
      <c r="X21" s="3"/>
      <c r="Y21" s="3"/>
      <c r="Z21" s="3"/>
    </row>
    <row r="22" ht="27.75" customHeight="1">
      <c r="A22" s="29"/>
      <c r="B22" s="26" t="s">
        <v>41</v>
      </c>
      <c r="C22" s="86"/>
      <c r="D22" s="86"/>
      <c r="E22" s="86"/>
      <c r="F22" s="29"/>
      <c r="G22" s="29"/>
      <c r="H22" s="29"/>
      <c r="I22" s="3"/>
      <c r="J22" s="3"/>
      <c r="K22" s="3"/>
      <c r="L22" s="3"/>
      <c r="M22" s="3"/>
      <c r="N22" s="3"/>
      <c r="O22" s="3"/>
      <c r="P22" s="3"/>
      <c r="Q22" s="3"/>
      <c r="R22" s="3"/>
      <c r="S22" s="3"/>
      <c r="T22" s="3"/>
      <c r="U22" s="3"/>
      <c r="V22" s="3"/>
      <c r="W22" s="3"/>
      <c r="X22" s="3"/>
      <c r="Y22" s="3"/>
      <c r="Z22" s="3"/>
    </row>
    <row r="23" ht="27.75" customHeight="1">
      <c r="A23" s="22"/>
      <c r="B23" s="26" t="s">
        <v>137</v>
      </c>
      <c r="C23" s="86"/>
      <c r="D23" s="86"/>
      <c r="E23" s="86"/>
      <c r="F23" s="22"/>
      <c r="G23" s="22"/>
      <c r="H23" s="22"/>
      <c r="I23" s="3"/>
      <c r="J23" s="3"/>
      <c r="K23" s="3"/>
      <c r="L23" s="3"/>
      <c r="M23" s="3"/>
      <c r="N23" s="3"/>
      <c r="O23" s="3"/>
      <c r="P23" s="3"/>
      <c r="Q23" s="3"/>
      <c r="R23" s="3"/>
      <c r="S23" s="3"/>
      <c r="T23" s="3"/>
      <c r="U23" s="3"/>
      <c r="V23" s="3"/>
      <c r="W23" s="3"/>
      <c r="X23" s="3"/>
      <c r="Y23" s="3"/>
      <c r="Z23" s="3"/>
    </row>
    <row r="24" ht="27.75" customHeight="1">
      <c r="A24" s="25" t="s">
        <v>138</v>
      </c>
      <c r="B24" s="26" t="s">
        <v>139</v>
      </c>
      <c r="C24" s="86"/>
      <c r="D24" s="86"/>
      <c r="E24" s="86"/>
      <c r="F24" s="45"/>
      <c r="G24" s="45"/>
      <c r="H24" s="45"/>
      <c r="I24" s="3"/>
      <c r="J24" s="3"/>
      <c r="K24" s="3"/>
      <c r="L24" s="3"/>
      <c r="M24" s="3"/>
      <c r="N24" s="3"/>
      <c r="O24" s="3"/>
      <c r="P24" s="3"/>
      <c r="Q24" s="3"/>
      <c r="R24" s="3"/>
      <c r="S24" s="3"/>
      <c r="T24" s="3"/>
      <c r="U24" s="3"/>
      <c r="V24" s="3"/>
      <c r="W24" s="3"/>
      <c r="X24" s="3"/>
      <c r="Y24" s="3"/>
      <c r="Z24" s="3"/>
    </row>
    <row r="25" ht="27.75" customHeight="1">
      <c r="A25" s="29"/>
      <c r="B25" s="26" t="s">
        <v>140</v>
      </c>
      <c r="C25" s="86"/>
      <c r="D25" s="86"/>
      <c r="E25" s="86"/>
      <c r="F25" s="45"/>
      <c r="G25" s="45"/>
      <c r="H25" s="45"/>
      <c r="I25" s="3"/>
      <c r="J25" s="3"/>
      <c r="K25" s="3"/>
      <c r="L25" s="3"/>
      <c r="M25" s="3"/>
      <c r="N25" s="3"/>
      <c r="O25" s="3"/>
      <c r="P25" s="3"/>
      <c r="Q25" s="3"/>
      <c r="R25" s="3"/>
      <c r="S25" s="3"/>
      <c r="T25" s="3"/>
      <c r="U25" s="3"/>
      <c r="V25" s="3"/>
      <c r="W25" s="3"/>
      <c r="X25" s="3"/>
      <c r="Y25" s="3"/>
      <c r="Z25" s="3"/>
    </row>
    <row r="26" ht="27.75" customHeight="1">
      <c r="A26" s="29"/>
      <c r="B26" s="26" t="s">
        <v>141</v>
      </c>
      <c r="C26" s="86"/>
      <c r="D26" s="86"/>
      <c r="E26" s="86"/>
      <c r="F26" s="45"/>
      <c r="G26" s="45"/>
      <c r="H26" s="45"/>
      <c r="I26" s="3"/>
      <c r="J26" s="3"/>
      <c r="K26" s="3"/>
      <c r="L26" s="3"/>
      <c r="M26" s="3"/>
      <c r="N26" s="3"/>
      <c r="O26" s="3"/>
      <c r="P26" s="3"/>
      <c r="Q26" s="3"/>
      <c r="R26" s="3"/>
      <c r="S26" s="3"/>
      <c r="T26" s="3"/>
      <c r="U26" s="3"/>
      <c r="V26" s="3"/>
      <c r="W26" s="3"/>
      <c r="X26" s="3"/>
      <c r="Y26" s="3"/>
      <c r="Z26" s="3"/>
    </row>
    <row r="27" ht="27.75" customHeight="1">
      <c r="A27" s="29"/>
      <c r="B27" s="26" t="s">
        <v>142</v>
      </c>
      <c r="C27" s="86"/>
      <c r="D27" s="86"/>
      <c r="E27" s="86"/>
      <c r="F27" s="45"/>
      <c r="G27" s="45"/>
      <c r="H27" s="45"/>
      <c r="I27" s="3"/>
      <c r="J27" s="3"/>
      <c r="K27" s="3"/>
      <c r="L27" s="3"/>
      <c r="M27" s="3"/>
      <c r="N27" s="3"/>
      <c r="O27" s="3"/>
      <c r="P27" s="3"/>
      <c r="Q27" s="3"/>
      <c r="R27" s="3"/>
      <c r="S27" s="3"/>
      <c r="T27" s="3"/>
      <c r="U27" s="3"/>
      <c r="V27" s="3"/>
      <c r="W27" s="3"/>
      <c r="X27" s="3"/>
      <c r="Y27" s="3"/>
      <c r="Z27" s="3"/>
    </row>
    <row r="28" ht="27.75" customHeight="1">
      <c r="A28" s="22"/>
      <c r="B28" s="26" t="s">
        <v>88</v>
      </c>
      <c r="C28" s="86"/>
      <c r="D28" s="86"/>
      <c r="E28" s="86"/>
      <c r="F28" s="45"/>
      <c r="G28" s="45"/>
      <c r="H28" s="45"/>
      <c r="I28" s="3"/>
      <c r="J28" s="3"/>
      <c r="K28" s="3"/>
      <c r="L28" s="3"/>
      <c r="M28" s="3"/>
      <c r="N28" s="3"/>
      <c r="O28" s="3"/>
      <c r="P28" s="3"/>
      <c r="Q28" s="3"/>
      <c r="R28" s="3"/>
      <c r="S28" s="3"/>
      <c r="T28" s="3"/>
      <c r="U28" s="3"/>
      <c r="V28" s="3"/>
      <c r="W28" s="3"/>
      <c r="X28" s="3"/>
      <c r="Y28" s="3"/>
      <c r="Z28" s="3"/>
    </row>
    <row r="29" ht="25.5" customHeight="1">
      <c r="A29" s="12"/>
      <c r="B29" s="12"/>
      <c r="C29" s="12"/>
      <c r="D29" s="12"/>
      <c r="E29" s="30" t="s">
        <v>33</v>
      </c>
      <c r="F29" s="31"/>
      <c r="G29" s="5" t="s">
        <v>34</v>
      </c>
      <c r="H29" s="32" t="str">
        <f>IF(AND(OR(F12="X", H12="X"), OR(F18="X",H18= "X"), OR(F15="X",H15= "X"),OR(F25="X",H25= "X"),OR(F21="X",H21="X"),OR(F24="x",H24="X"),OR(F26="X",H26="x"),OR(F27="X",H27= "X"),OR(F28="X",H28= "X")), "X", "")</f>
        <v/>
      </c>
      <c r="I29" s="3"/>
      <c r="J29" s="3"/>
      <c r="K29" s="3"/>
      <c r="L29" s="3"/>
      <c r="M29" s="3"/>
      <c r="N29" s="3"/>
      <c r="O29" s="3"/>
      <c r="P29" s="3"/>
      <c r="Q29" s="3"/>
      <c r="R29" s="3"/>
      <c r="S29" s="3"/>
      <c r="T29" s="3"/>
      <c r="U29" s="3"/>
      <c r="V29" s="3"/>
      <c r="W29" s="3"/>
      <c r="X29" s="3"/>
      <c r="Y29" s="3"/>
      <c r="Z29" s="3"/>
    </row>
    <row r="30" ht="25.5" customHeight="1">
      <c r="A30" s="12"/>
      <c r="B30" s="12"/>
      <c r="C30" s="12"/>
      <c r="D30" s="12"/>
      <c r="E30" s="33"/>
      <c r="F30" s="34"/>
      <c r="G30" s="5" t="s">
        <v>35</v>
      </c>
      <c r="H30" s="32" t="str">
        <f>IF(OR(G12="X",G18= "X",G15= "X",G25= "X",G27= "X",G28= "X",G21="X",G24="X",G26="X"), "X", "")</f>
        <v/>
      </c>
      <c r="I30" s="3"/>
      <c r="J30" s="3"/>
      <c r="K30" s="3"/>
      <c r="L30" s="3"/>
      <c r="M30" s="3"/>
      <c r="N30" s="3"/>
      <c r="O30" s="3"/>
      <c r="P30" s="3"/>
      <c r="Q30" s="3"/>
      <c r="R30" s="3"/>
      <c r="S30" s="3"/>
      <c r="T30" s="3"/>
      <c r="U30" s="3"/>
      <c r="V30" s="3"/>
      <c r="W30" s="3"/>
      <c r="X30" s="3"/>
      <c r="Y30" s="3"/>
      <c r="Z30" s="3"/>
    </row>
    <row r="31" ht="34.5" customHeight="1">
      <c r="A31" s="12"/>
      <c r="B31" s="12"/>
      <c r="C31" s="12"/>
      <c r="D31" s="12"/>
      <c r="E31" s="12"/>
      <c r="F31" s="15"/>
      <c r="G31" s="15"/>
      <c r="H31" s="12"/>
      <c r="I31" s="3"/>
      <c r="J31" s="3"/>
      <c r="K31" s="3"/>
      <c r="L31" s="3"/>
      <c r="M31" s="3"/>
      <c r="N31" s="3"/>
      <c r="O31" s="3"/>
      <c r="P31" s="3"/>
      <c r="Q31" s="3"/>
      <c r="R31" s="3"/>
      <c r="S31" s="3"/>
      <c r="T31" s="3"/>
      <c r="U31" s="3"/>
      <c r="V31" s="3"/>
      <c r="W31" s="3"/>
      <c r="X31" s="3"/>
      <c r="Y31" s="3"/>
      <c r="Z31" s="3"/>
    </row>
    <row r="32" ht="34.5" customHeight="1">
      <c r="A32" s="87" t="s">
        <v>36</v>
      </c>
      <c r="B32" s="12"/>
      <c r="C32" s="12"/>
      <c r="D32" s="12"/>
      <c r="E32" s="12"/>
      <c r="F32" s="15"/>
      <c r="G32" s="15"/>
      <c r="H32" s="12"/>
      <c r="I32" s="3"/>
      <c r="J32" s="3"/>
      <c r="K32" s="3"/>
      <c r="L32" s="3"/>
      <c r="M32" s="3"/>
      <c r="N32" s="3"/>
      <c r="O32" s="3"/>
      <c r="P32" s="3"/>
      <c r="Q32" s="3"/>
      <c r="R32" s="3"/>
      <c r="S32" s="3"/>
      <c r="T32" s="3"/>
      <c r="U32" s="3"/>
      <c r="V32" s="3"/>
      <c r="W32" s="3"/>
      <c r="X32" s="3"/>
      <c r="Y32" s="3"/>
      <c r="Z32" s="3"/>
    </row>
    <row r="33" ht="34.5" customHeight="1">
      <c r="A33" s="36"/>
      <c r="B33" s="37"/>
      <c r="C33" s="37"/>
      <c r="D33" s="37"/>
      <c r="E33" s="37"/>
      <c r="F33" s="37"/>
      <c r="G33" s="37"/>
      <c r="H33" s="31"/>
      <c r="I33" s="3"/>
      <c r="J33" s="3"/>
      <c r="K33" s="3"/>
      <c r="L33" s="3"/>
      <c r="M33" s="3"/>
      <c r="N33" s="3"/>
      <c r="O33" s="3"/>
      <c r="P33" s="3"/>
      <c r="Q33" s="3"/>
      <c r="R33" s="3"/>
      <c r="S33" s="3"/>
      <c r="T33" s="3"/>
      <c r="U33" s="3"/>
      <c r="V33" s="3"/>
      <c r="W33" s="3"/>
      <c r="X33" s="3"/>
      <c r="Y33" s="3"/>
      <c r="Z33" s="3"/>
    </row>
    <row r="34" ht="34.5" customHeight="1">
      <c r="A34" s="38"/>
      <c r="H34" s="39"/>
      <c r="I34" s="3"/>
      <c r="J34" s="3"/>
      <c r="K34" s="3"/>
      <c r="L34" s="3"/>
      <c r="M34" s="3"/>
      <c r="N34" s="3"/>
      <c r="O34" s="3"/>
      <c r="P34" s="3"/>
      <c r="Q34" s="3"/>
      <c r="R34" s="3"/>
      <c r="S34" s="3"/>
      <c r="T34" s="3"/>
      <c r="U34" s="3"/>
      <c r="V34" s="3"/>
      <c r="W34" s="3"/>
      <c r="X34" s="3"/>
      <c r="Y34" s="3"/>
      <c r="Z34" s="3"/>
    </row>
    <row r="35" ht="34.5" customHeight="1">
      <c r="A35" s="33"/>
      <c r="B35" s="40"/>
      <c r="C35" s="40"/>
      <c r="D35" s="40"/>
      <c r="E35" s="40"/>
      <c r="F35" s="40"/>
      <c r="G35" s="40"/>
      <c r="H35" s="34"/>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5">
    <mergeCell ref="A12:A14"/>
    <mergeCell ref="A15:A17"/>
    <mergeCell ref="A18:A20"/>
    <mergeCell ref="A21:A23"/>
    <mergeCell ref="A24:A28"/>
    <mergeCell ref="A1:H1"/>
    <mergeCell ref="A2:H2"/>
    <mergeCell ref="A10:A11"/>
    <mergeCell ref="B10:B11"/>
    <mergeCell ref="C10:E10"/>
    <mergeCell ref="F10:H10"/>
    <mergeCell ref="H12:H14"/>
    <mergeCell ref="F18:F20"/>
    <mergeCell ref="F21:F23"/>
    <mergeCell ref="G21:G23"/>
    <mergeCell ref="H21:H23"/>
    <mergeCell ref="E29:F30"/>
    <mergeCell ref="A33:H35"/>
    <mergeCell ref="F12:F14"/>
    <mergeCell ref="G12:G14"/>
    <mergeCell ref="F15:F17"/>
    <mergeCell ref="G15:G17"/>
    <mergeCell ref="H15:H17"/>
    <mergeCell ref="G18:G20"/>
    <mergeCell ref="H18:H20"/>
  </mergeCells>
  <conditionalFormatting sqref="A33:H35 B4 B7 C12:H12 C13:E14 C15:H15 C16:E17 C18:H18 C19:E20 C21:H21 C22:E23 C24:H28 H29:H30">
    <cfRule type="containsBlanks" dxfId="0" priority="1">
      <formula>LEN(TRIM(A33))=0</formula>
    </cfRule>
  </conditionalFormatting>
  <conditionalFormatting sqref="B5">
    <cfRule type="containsBlanks" dxfId="3" priority="2">
      <formula>LEN(TRIM(B5))=0</formula>
    </cfRule>
  </conditionalFormatting>
  <dataValidations>
    <dataValidation type="list" allowBlank="1" showErrorMessage="1" sqref="C12:H12 C13:E14 C15:H15 C16:E17 C18:H18 C19:E20 C21:H21 C22:E23 C24:H28">
      <formula1>"X"</formula1>
    </dataValidation>
    <dataValidation type="custom" allowBlank="1" showInputMessage="1" showErrorMessage="1" prompt="Erreur de saisie - Le commentaire est obligatoire. Veuillez remplir cette section" sqref="A33">
      <formula1>GT(LEN(A33),(2))</formula1>
    </dataValidation>
  </dataValidations>
  <printOptions/>
  <pageMargins bottom="0.748031496062992" footer="0.0" header="0.0" left="0.708661417322835" right="0.708661417322835" top="0.748031496062992"/>
  <pageSetup paperSize="8" scale="60" orientation="landscape"/>
  <headerFooter>
    <oddHeader>&amp;L000000</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121</v>
      </c>
      <c r="B1" s="7"/>
      <c r="C1" s="7"/>
      <c r="D1" s="7"/>
      <c r="E1" s="7"/>
      <c r="F1" s="7"/>
      <c r="G1" s="7"/>
      <c r="H1" s="8"/>
      <c r="I1" s="9"/>
      <c r="J1" s="9"/>
      <c r="K1" s="9"/>
      <c r="L1" s="9"/>
      <c r="M1" s="3"/>
      <c r="N1" s="3"/>
      <c r="O1" s="3"/>
      <c r="P1" s="3"/>
      <c r="Q1" s="3"/>
      <c r="R1" s="3"/>
      <c r="S1" s="3"/>
      <c r="T1" s="3"/>
      <c r="U1" s="3"/>
      <c r="V1" s="3"/>
      <c r="W1" s="3"/>
      <c r="X1" s="3"/>
      <c r="Y1" s="3"/>
      <c r="Z1" s="3"/>
    </row>
    <row r="2" ht="195.75" customHeight="1">
      <c r="A2" s="10" t="s">
        <v>143</v>
      </c>
      <c r="I2" s="11"/>
      <c r="J2" s="11"/>
      <c r="K2" s="11"/>
      <c r="L2" s="11"/>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71"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34.5" customHeight="1">
      <c r="A12" s="26" t="s">
        <v>144</v>
      </c>
      <c r="B12" s="26" t="s">
        <v>50</v>
      </c>
      <c r="C12" s="86"/>
      <c r="D12" s="86"/>
      <c r="E12" s="86"/>
      <c r="F12" s="45"/>
      <c r="G12" s="45"/>
      <c r="H12" s="45"/>
      <c r="I12" s="3"/>
      <c r="J12" s="3"/>
      <c r="K12" s="3"/>
      <c r="L12" s="3"/>
      <c r="M12" s="3"/>
      <c r="N12" s="3"/>
      <c r="O12" s="3"/>
      <c r="P12" s="3"/>
      <c r="Q12" s="3"/>
      <c r="R12" s="3"/>
      <c r="S12" s="3"/>
      <c r="T12" s="3"/>
      <c r="U12" s="3"/>
      <c r="V12" s="3"/>
      <c r="W12" s="3"/>
      <c r="X12" s="3"/>
      <c r="Y12" s="3"/>
      <c r="Z12" s="3"/>
    </row>
    <row r="13" ht="25.5" customHeight="1">
      <c r="A13" s="12"/>
      <c r="B13" s="12"/>
      <c r="C13" s="12"/>
      <c r="D13" s="12"/>
      <c r="E13" s="30" t="s">
        <v>33</v>
      </c>
      <c r="F13" s="31"/>
      <c r="G13" s="5" t="s">
        <v>34</v>
      </c>
      <c r="H13" s="32" t="str">
        <f>IF(AND(OR(F12="X", H12="X")), "X", "")</f>
        <v/>
      </c>
      <c r="I13" s="3"/>
      <c r="J13" s="3"/>
      <c r="K13" s="3"/>
      <c r="L13" s="3"/>
      <c r="M13" s="3"/>
      <c r="N13" s="3"/>
      <c r="O13" s="3"/>
      <c r="P13" s="3"/>
      <c r="Q13" s="3"/>
      <c r="R13" s="3"/>
      <c r="S13" s="3"/>
      <c r="T13" s="3"/>
      <c r="U13" s="3"/>
      <c r="V13" s="3"/>
      <c r="W13" s="3"/>
      <c r="X13" s="3"/>
      <c r="Y13" s="3"/>
      <c r="Z13" s="3"/>
    </row>
    <row r="14" ht="25.5" customHeight="1">
      <c r="A14" s="12"/>
      <c r="B14" s="12"/>
      <c r="C14" s="12"/>
      <c r="D14" s="12"/>
      <c r="E14" s="33"/>
      <c r="F14" s="34"/>
      <c r="G14" s="5" t="s">
        <v>35</v>
      </c>
      <c r="H14" s="32" t="str">
        <f>IF(OR(G12="X"), "X", "")</f>
        <v/>
      </c>
      <c r="I14" s="3"/>
      <c r="J14" s="3"/>
      <c r="K14" s="3"/>
      <c r="L14" s="3"/>
      <c r="M14" s="3"/>
      <c r="N14" s="3"/>
      <c r="O14" s="3"/>
      <c r="P14" s="3"/>
      <c r="Q14" s="3"/>
      <c r="R14" s="3"/>
      <c r="S14" s="3"/>
      <c r="T14" s="3"/>
      <c r="U14" s="3"/>
      <c r="V14" s="3"/>
      <c r="W14" s="3"/>
      <c r="X14" s="3"/>
      <c r="Y14" s="3"/>
      <c r="Z14" s="3"/>
    </row>
    <row r="15" ht="34.5" customHeight="1">
      <c r="A15" s="12"/>
      <c r="B15" s="12"/>
      <c r="C15" s="12"/>
      <c r="D15" s="12"/>
      <c r="E15" s="12"/>
      <c r="F15" s="15"/>
      <c r="G15" s="15"/>
      <c r="H15" s="12"/>
      <c r="I15" s="3"/>
      <c r="J15" s="3"/>
      <c r="K15" s="3"/>
      <c r="L15" s="3"/>
      <c r="M15" s="3"/>
      <c r="N15" s="3"/>
      <c r="O15" s="3"/>
      <c r="P15" s="3"/>
      <c r="Q15" s="3"/>
      <c r="R15" s="3"/>
      <c r="S15" s="3"/>
      <c r="T15" s="3"/>
      <c r="U15" s="3"/>
      <c r="V15" s="3"/>
      <c r="W15" s="3"/>
      <c r="X15" s="3"/>
      <c r="Y15" s="3"/>
      <c r="Z15" s="3"/>
    </row>
    <row r="16" ht="34.5" customHeight="1">
      <c r="A16" s="87" t="s">
        <v>36</v>
      </c>
      <c r="B16" s="12"/>
      <c r="C16" s="12"/>
      <c r="D16" s="12"/>
      <c r="E16" s="12"/>
      <c r="F16" s="15"/>
      <c r="G16" s="15"/>
      <c r="H16" s="12"/>
      <c r="I16" s="3"/>
      <c r="J16" s="3"/>
      <c r="K16" s="3"/>
      <c r="L16" s="3"/>
      <c r="M16" s="3"/>
      <c r="N16" s="3"/>
      <c r="O16" s="3"/>
      <c r="P16" s="3"/>
      <c r="Q16" s="3"/>
      <c r="R16" s="3"/>
      <c r="S16" s="3"/>
      <c r="T16" s="3"/>
      <c r="U16" s="3"/>
      <c r="V16" s="3"/>
      <c r="W16" s="3"/>
      <c r="X16" s="3"/>
      <c r="Y16" s="3"/>
      <c r="Z16" s="3"/>
    </row>
    <row r="17" ht="34.5" customHeight="1">
      <c r="A17" s="36"/>
      <c r="B17" s="37"/>
      <c r="C17" s="37"/>
      <c r="D17" s="37"/>
      <c r="E17" s="37"/>
      <c r="F17" s="37"/>
      <c r="G17" s="37"/>
      <c r="H17" s="31"/>
      <c r="I17" s="3"/>
      <c r="J17" s="3"/>
      <c r="K17" s="3"/>
      <c r="L17" s="3"/>
      <c r="M17" s="3"/>
      <c r="N17" s="3"/>
      <c r="O17" s="3"/>
      <c r="P17" s="3"/>
      <c r="Q17" s="3"/>
      <c r="R17" s="3"/>
      <c r="S17" s="3"/>
      <c r="T17" s="3"/>
      <c r="U17" s="3"/>
      <c r="V17" s="3"/>
      <c r="W17" s="3"/>
      <c r="X17" s="3"/>
      <c r="Y17" s="3"/>
      <c r="Z17" s="3"/>
    </row>
    <row r="18" ht="34.5" customHeight="1">
      <c r="A18" s="38"/>
      <c r="H18" s="39"/>
      <c r="I18" s="3"/>
      <c r="J18" s="3"/>
      <c r="K18" s="3"/>
      <c r="L18" s="3"/>
      <c r="M18" s="3"/>
      <c r="N18" s="3"/>
      <c r="O18" s="3"/>
      <c r="P18" s="3"/>
      <c r="Q18" s="3"/>
      <c r="R18" s="3"/>
      <c r="S18" s="3"/>
      <c r="T18" s="3"/>
      <c r="U18" s="3"/>
      <c r="V18" s="3"/>
      <c r="W18" s="3"/>
      <c r="X18" s="3"/>
      <c r="Y18" s="3"/>
      <c r="Z18" s="3"/>
    </row>
    <row r="19" ht="34.5" customHeight="1">
      <c r="A19" s="33"/>
      <c r="B19" s="40"/>
      <c r="C19" s="40"/>
      <c r="D19" s="40"/>
      <c r="E19" s="40"/>
      <c r="F19" s="40"/>
      <c r="G19" s="40"/>
      <c r="H19" s="34"/>
      <c r="I19" s="3"/>
      <c r="J19" s="3"/>
      <c r="K19" s="3"/>
      <c r="L19" s="3"/>
      <c r="M19" s="3"/>
      <c r="N19" s="3"/>
      <c r="O19" s="3"/>
      <c r="P19" s="3"/>
      <c r="Q19" s="3"/>
      <c r="R19" s="3"/>
      <c r="S19" s="3"/>
      <c r="T19" s="3"/>
      <c r="U19" s="3"/>
      <c r="V19" s="3"/>
      <c r="W19" s="3"/>
      <c r="X19" s="3"/>
      <c r="Y19" s="3"/>
      <c r="Z19" s="3"/>
    </row>
    <row r="20" ht="34.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4.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34.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4.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34.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34.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4.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4.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4.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4.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A1:H1"/>
    <mergeCell ref="A2:H2"/>
    <mergeCell ref="A10:A11"/>
    <mergeCell ref="B10:B11"/>
    <mergeCell ref="C10:E10"/>
    <mergeCell ref="F10:H10"/>
    <mergeCell ref="E13:F14"/>
    <mergeCell ref="A17:H19"/>
  </mergeCells>
  <conditionalFormatting sqref="A17:H19 B4 B7 C12:H12 H13:H14">
    <cfRule type="containsBlanks" dxfId="0" priority="1">
      <formula>LEN(TRIM(A17))=0</formula>
    </cfRule>
  </conditionalFormatting>
  <conditionalFormatting sqref="B5">
    <cfRule type="containsBlanks" dxfId="3" priority="2">
      <formula>LEN(TRIM(B5))=0</formula>
    </cfRule>
  </conditionalFormatting>
  <dataValidations>
    <dataValidation type="list" allowBlank="1" showErrorMessage="1" sqref="C12:H12">
      <formula1>"X"</formula1>
    </dataValidation>
    <dataValidation type="custom" allowBlank="1" showInputMessage="1" showErrorMessage="1" prompt="Erreur de saisie - Le commentaire est obligatoire. Veuillez remplir cette section" sqref="A17">
      <formula1>GT(LEN(A17),(2))</formula1>
    </dataValidation>
  </dataValidations>
  <printOptions/>
  <pageMargins bottom="0.748031496062992" footer="0.0" header="0.0" left="0.708661417322835" right="0.708661417322835" top="0.748031496062992"/>
  <pageSetup paperSize="8" scale="60" orientation="landscape"/>
  <headerFooter>
    <oddHeader>&amp;L000000</oddHead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43"/>
    <col customWidth="1" min="2" max="2" width="37.86"/>
    <col customWidth="1" min="3" max="3" width="37.43"/>
    <col customWidth="1" min="4" max="4" width="33.43"/>
    <col customWidth="1" min="5" max="5" width="25.43"/>
    <col customWidth="1" min="6" max="26" width="21.43"/>
  </cols>
  <sheetData>
    <row r="1" ht="84.0" customHeight="1">
      <c r="A1" s="41" t="s">
        <v>121</v>
      </c>
      <c r="J1" s="9"/>
      <c r="K1" s="9"/>
      <c r="L1" s="9"/>
      <c r="M1" s="3"/>
      <c r="N1" s="3"/>
      <c r="O1" s="3"/>
      <c r="P1" s="3"/>
      <c r="Q1" s="3"/>
      <c r="R1" s="3"/>
      <c r="S1" s="3"/>
      <c r="T1" s="3"/>
      <c r="U1" s="3"/>
      <c r="V1" s="3"/>
      <c r="W1" s="3"/>
      <c r="X1" s="3"/>
      <c r="Y1" s="3"/>
      <c r="Z1" s="3"/>
    </row>
    <row r="2" ht="38.25" customHeight="1">
      <c r="A2" s="70" t="s">
        <v>145</v>
      </c>
      <c r="J2" s="11"/>
      <c r="K2" s="11"/>
      <c r="L2" s="11"/>
      <c r="M2" s="3"/>
      <c r="N2" s="3"/>
      <c r="O2" s="3"/>
      <c r="P2" s="3"/>
      <c r="Q2" s="3"/>
      <c r="R2" s="3"/>
      <c r="S2" s="3"/>
      <c r="T2" s="3"/>
      <c r="U2" s="3"/>
      <c r="V2" s="3"/>
      <c r="W2" s="3"/>
      <c r="X2" s="3"/>
      <c r="Y2" s="3"/>
      <c r="Z2" s="3"/>
    </row>
    <row r="3" ht="41.25" customHeight="1">
      <c r="A3" s="88"/>
      <c r="B3" s="88"/>
      <c r="C3" s="88"/>
      <c r="D3" s="88"/>
      <c r="E3" s="88"/>
      <c r="F3" s="88"/>
      <c r="G3" s="88"/>
      <c r="H3" s="88"/>
      <c r="I3" s="88"/>
      <c r="J3" s="3"/>
      <c r="K3" s="3"/>
      <c r="L3" s="3"/>
      <c r="M3" s="3"/>
      <c r="N3" s="3"/>
      <c r="O3" s="3"/>
      <c r="P3" s="3"/>
      <c r="Q3" s="3"/>
      <c r="R3" s="3"/>
      <c r="S3" s="3"/>
      <c r="T3" s="3"/>
      <c r="U3" s="3"/>
      <c r="V3" s="3"/>
      <c r="W3" s="3"/>
      <c r="X3" s="3"/>
      <c r="Y3" s="3"/>
      <c r="Z3" s="3"/>
    </row>
    <row r="4" ht="41.25" customHeight="1">
      <c r="A4" s="13" t="s">
        <v>5</v>
      </c>
      <c r="B4" s="71" t="str">
        <f>IF(NOMPRENOM="", "", NOMPRENOM)</f>
        <v/>
      </c>
      <c r="C4" s="12"/>
      <c r="D4" s="15"/>
      <c r="E4" s="12"/>
      <c r="F4" s="12"/>
      <c r="G4" s="12"/>
      <c r="H4" s="12"/>
      <c r="I4" s="12"/>
      <c r="J4" s="3"/>
      <c r="K4" s="3"/>
      <c r="L4" s="3"/>
      <c r="M4" s="3"/>
      <c r="N4" s="3"/>
      <c r="O4" s="3"/>
      <c r="P4" s="3"/>
      <c r="Q4" s="3"/>
      <c r="R4" s="3"/>
      <c r="S4" s="3"/>
      <c r="T4" s="3"/>
      <c r="U4" s="3"/>
      <c r="V4" s="3"/>
      <c r="W4" s="3"/>
      <c r="X4" s="3"/>
      <c r="Y4" s="3"/>
      <c r="Z4" s="3"/>
    </row>
    <row r="5" ht="41.25" customHeight="1">
      <c r="A5" s="3"/>
      <c r="B5" s="3"/>
      <c r="C5" s="3"/>
      <c r="D5" s="3"/>
      <c r="E5" s="3"/>
      <c r="F5" s="3"/>
      <c r="G5" s="3"/>
      <c r="H5" s="3"/>
      <c r="I5" s="3"/>
      <c r="J5" s="3"/>
      <c r="K5" s="3"/>
      <c r="L5" s="3"/>
      <c r="M5" s="3"/>
      <c r="N5" s="3"/>
      <c r="O5" s="3"/>
      <c r="P5" s="3"/>
      <c r="Q5" s="3"/>
      <c r="R5" s="3"/>
      <c r="S5" s="3"/>
      <c r="T5" s="3"/>
      <c r="U5" s="3"/>
      <c r="V5" s="3"/>
      <c r="W5" s="3"/>
      <c r="X5" s="3"/>
      <c r="Y5" s="3"/>
      <c r="Z5" s="3"/>
    </row>
    <row r="6" ht="41.25" customHeight="1">
      <c r="A6" s="44"/>
      <c r="B6" s="44"/>
      <c r="C6" s="44"/>
      <c r="D6" s="44"/>
      <c r="E6" s="3"/>
      <c r="F6" s="3"/>
      <c r="G6" s="3"/>
      <c r="H6" s="3"/>
      <c r="I6" s="3"/>
      <c r="J6" s="3"/>
      <c r="K6" s="3"/>
      <c r="L6" s="3"/>
      <c r="M6" s="3"/>
      <c r="N6" s="3"/>
      <c r="O6" s="3"/>
      <c r="P6" s="3"/>
      <c r="Q6" s="3"/>
      <c r="R6" s="3"/>
      <c r="S6" s="3"/>
      <c r="T6" s="3"/>
      <c r="U6" s="3"/>
      <c r="V6" s="3"/>
      <c r="W6" s="3"/>
      <c r="X6" s="3"/>
      <c r="Y6" s="3"/>
      <c r="Z6" s="3"/>
    </row>
    <row r="7" ht="41.25" customHeight="1">
      <c r="A7" s="3"/>
      <c r="B7" s="3"/>
      <c r="C7" s="72" t="s">
        <v>52</v>
      </c>
      <c r="D7" s="72" t="s">
        <v>53</v>
      </c>
      <c r="E7" s="3"/>
      <c r="F7" s="3"/>
      <c r="G7" s="3"/>
      <c r="H7" s="3"/>
      <c r="I7" s="3"/>
      <c r="J7" s="3"/>
      <c r="K7" s="3"/>
      <c r="L7" s="3"/>
      <c r="M7" s="3"/>
      <c r="N7" s="3"/>
      <c r="O7" s="3"/>
      <c r="P7" s="3"/>
      <c r="Q7" s="3"/>
      <c r="R7" s="3"/>
      <c r="S7" s="3"/>
      <c r="T7" s="3"/>
      <c r="U7" s="3"/>
      <c r="V7" s="3"/>
      <c r="W7" s="3"/>
      <c r="X7" s="3"/>
      <c r="Y7" s="3"/>
      <c r="Z7" s="3"/>
    </row>
    <row r="8" ht="41.25" customHeight="1">
      <c r="A8" s="46" t="s">
        <v>145</v>
      </c>
      <c r="B8" s="74" t="s">
        <v>146</v>
      </c>
      <c r="C8" s="45" t="str">
        <f>ME4.1_OUI</f>
        <v/>
      </c>
      <c r="D8" s="45" t="str">
        <f>ME4.1_NON</f>
        <v/>
      </c>
      <c r="E8" s="3"/>
      <c r="F8" s="3"/>
      <c r="G8" s="3"/>
      <c r="H8" s="3"/>
      <c r="I8" s="3"/>
      <c r="J8" s="3"/>
      <c r="K8" s="3"/>
      <c r="L8" s="3"/>
      <c r="M8" s="3"/>
      <c r="N8" s="3"/>
      <c r="O8" s="3"/>
      <c r="P8" s="3"/>
      <c r="Q8" s="3"/>
      <c r="R8" s="3"/>
      <c r="S8" s="3"/>
      <c r="T8" s="3"/>
      <c r="U8" s="3"/>
      <c r="V8" s="3"/>
      <c r="W8" s="3"/>
      <c r="X8" s="3"/>
      <c r="Y8" s="3"/>
      <c r="Z8" s="3"/>
    </row>
    <row r="9" ht="41.25" customHeight="1">
      <c r="A9" s="22"/>
      <c r="B9" s="74" t="s">
        <v>147</v>
      </c>
      <c r="C9" s="45" t="str">
        <f>ME4.2_OUI</f>
        <v/>
      </c>
      <c r="D9" s="45" t="str">
        <f>ME4.2_NON</f>
        <v/>
      </c>
      <c r="E9" s="3"/>
      <c r="F9" s="3"/>
      <c r="G9" s="3"/>
      <c r="H9" s="3"/>
      <c r="I9" s="3"/>
      <c r="J9" s="3"/>
      <c r="K9" s="3"/>
      <c r="L9" s="3"/>
      <c r="M9" s="3"/>
      <c r="N9" s="3"/>
      <c r="O9" s="3"/>
      <c r="P9" s="3"/>
      <c r="Q9" s="3"/>
      <c r="R9" s="3"/>
      <c r="S9" s="3"/>
      <c r="T9" s="3"/>
      <c r="U9" s="3"/>
      <c r="V9" s="3"/>
      <c r="W9" s="3"/>
      <c r="X9" s="3"/>
      <c r="Y9" s="3"/>
      <c r="Z9" s="3"/>
    </row>
    <row r="10" ht="41.25" customHeight="1">
      <c r="A10" s="12"/>
      <c r="B10" s="49"/>
      <c r="C10" s="17"/>
      <c r="D10" s="3"/>
      <c r="E10" s="3"/>
      <c r="F10" s="3"/>
      <c r="G10" s="3"/>
      <c r="H10" s="3"/>
      <c r="I10" s="3"/>
      <c r="J10" s="3"/>
      <c r="K10" s="3"/>
      <c r="L10" s="3"/>
      <c r="M10" s="3"/>
      <c r="N10" s="3"/>
      <c r="O10" s="3"/>
      <c r="P10" s="3"/>
      <c r="Q10" s="3"/>
      <c r="R10" s="3"/>
      <c r="S10" s="3"/>
      <c r="T10" s="3"/>
      <c r="U10" s="3"/>
      <c r="V10" s="3"/>
      <c r="W10" s="3"/>
      <c r="X10" s="3"/>
      <c r="Y10" s="3"/>
      <c r="Z10" s="3"/>
    </row>
    <row r="11" ht="41.25" customHeight="1">
      <c r="A11" s="55" t="s">
        <v>57</v>
      </c>
      <c r="B11" s="12"/>
      <c r="C11" s="12"/>
      <c r="D11" s="12"/>
      <c r="E11" s="12"/>
      <c r="F11" s="12"/>
      <c r="G11" s="12"/>
      <c r="H11" s="12"/>
      <c r="I11" s="12"/>
      <c r="J11" s="3"/>
      <c r="K11" s="3"/>
      <c r="L11" s="3"/>
      <c r="M11" s="3"/>
      <c r="N11" s="3"/>
      <c r="O11" s="3"/>
      <c r="P11" s="3"/>
      <c r="Q11" s="3"/>
      <c r="R11" s="3"/>
      <c r="S11" s="3"/>
      <c r="T11" s="3"/>
      <c r="U11" s="3"/>
      <c r="V11" s="3"/>
      <c r="W11" s="3"/>
      <c r="X11" s="3"/>
      <c r="Y11" s="3"/>
      <c r="Z11" s="3"/>
    </row>
    <row r="12" ht="41.25" customHeight="1">
      <c r="A12" s="51"/>
      <c r="B12" s="52"/>
      <c r="C12" s="52"/>
      <c r="D12" s="52"/>
      <c r="E12" s="52"/>
      <c r="F12" s="52"/>
      <c r="G12" s="52"/>
      <c r="H12" s="52"/>
      <c r="I12" s="53"/>
      <c r="J12" s="3"/>
      <c r="K12" s="3"/>
      <c r="L12" s="3"/>
      <c r="M12" s="3"/>
      <c r="N12" s="3"/>
      <c r="O12" s="3"/>
      <c r="P12" s="3"/>
      <c r="Q12" s="3"/>
      <c r="R12" s="3"/>
      <c r="S12" s="3"/>
      <c r="T12" s="3"/>
      <c r="U12" s="3"/>
      <c r="V12" s="3"/>
      <c r="W12" s="3"/>
      <c r="X12" s="3"/>
      <c r="Y12" s="3"/>
      <c r="Z12" s="3"/>
    </row>
    <row r="13" ht="41.25" customHeight="1">
      <c r="A13" s="38"/>
      <c r="I13" s="39"/>
      <c r="J13" s="3"/>
      <c r="K13" s="3"/>
      <c r="L13" s="3"/>
      <c r="M13" s="3"/>
      <c r="N13" s="3"/>
      <c r="O13" s="3"/>
      <c r="P13" s="3"/>
      <c r="Q13" s="3"/>
      <c r="R13" s="3"/>
      <c r="S13" s="3"/>
      <c r="T13" s="3"/>
      <c r="U13" s="3"/>
      <c r="V13" s="3"/>
      <c r="W13" s="3"/>
      <c r="X13" s="3"/>
      <c r="Y13" s="3"/>
      <c r="Z13" s="3"/>
    </row>
    <row r="14" ht="41.25" customHeight="1">
      <c r="A14" s="38"/>
      <c r="I14" s="39"/>
      <c r="J14" s="3"/>
      <c r="K14" s="3"/>
      <c r="L14" s="3"/>
      <c r="M14" s="3"/>
      <c r="N14" s="3"/>
      <c r="O14" s="3"/>
      <c r="P14" s="3"/>
      <c r="Q14" s="3"/>
      <c r="R14" s="3"/>
      <c r="S14" s="3"/>
      <c r="T14" s="3"/>
      <c r="U14" s="3"/>
      <c r="V14" s="3"/>
      <c r="W14" s="3"/>
      <c r="X14" s="3"/>
      <c r="Y14" s="3"/>
      <c r="Z14" s="3"/>
    </row>
    <row r="15" ht="41.25" customHeight="1">
      <c r="A15" s="33"/>
      <c r="B15" s="40"/>
      <c r="C15" s="40"/>
      <c r="D15" s="40"/>
      <c r="E15" s="40"/>
      <c r="F15" s="40"/>
      <c r="G15" s="40"/>
      <c r="H15" s="40"/>
      <c r="I15" s="34"/>
      <c r="J15" s="3"/>
      <c r="K15" s="3"/>
      <c r="L15" s="3"/>
      <c r="M15" s="3"/>
      <c r="N15" s="3"/>
      <c r="O15" s="3"/>
      <c r="P15" s="3"/>
      <c r="Q15" s="3"/>
      <c r="R15" s="3"/>
      <c r="S15" s="3"/>
      <c r="T15" s="3"/>
      <c r="U15" s="3"/>
      <c r="V15" s="3"/>
      <c r="W15" s="3"/>
      <c r="X15" s="3"/>
      <c r="Y15" s="3"/>
      <c r="Z15" s="3"/>
    </row>
    <row r="16" ht="41.25" customHeight="1">
      <c r="A16" s="12"/>
      <c r="B16" s="49"/>
      <c r="C16" s="17"/>
      <c r="D16" s="3"/>
      <c r="E16" s="3"/>
      <c r="F16" s="3"/>
      <c r="G16" s="3"/>
      <c r="H16" s="3"/>
      <c r="I16" s="3"/>
      <c r="J16" s="3"/>
      <c r="K16" s="3"/>
      <c r="L16" s="3"/>
      <c r="M16" s="3"/>
      <c r="N16" s="3"/>
      <c r="O16" s="3"/>
      <c r="P16" s="3"/>
      <c r="Q16" s="3"/>
      <c r="R16" s="3"/>
      <c r="S16" s="3"/>
      <c r="T16" s="3"/>
      <c r="U16" s="3"/>
      <c r="V16" s="3"/>
      <c r="W16" s="3"/>
      <c r="X16" s="3"/>
      <c r="Y16" s="3"/>
      <c r="Z16" s="3"/>
    </row>
    <row r="17" ht="41.25" customHeight="1">
      <c r="A17" s="12"/>
      <c r="B17" s="49"/>
      <c r="C17" s="17"/>
      <c r="D17" s="3"/>
      <c r="E17" s="3"/>
      <c r="F17" s="3"/>
      <c r="G17" s="3"/>
      <c r="H17" s="3"/>
      <c r="I17" s="3"/>
      <c r="J17" s="3"/>
      <c r="K17" s="3"/>
      <c r="L17" s="3"/>
      <c r="M17" s="3"/>
      <c r="N17" s="3"/>
      <c r="O17" s="3"/>
      <c r="P17" s="3"/>
      <c r="Q17" s="3"/>
      <c r="R17" s="3"/>
      <c r="S17" s="3"/>
      <c r="T17" s="3"/>
      <c r="U17" s="3"/>
      <c r="V17" s="3"/>
      <c r="W17" s="3"/>
      <c r="X17" s="3"/>
      <c r="Y17" s="3"/>
      <c r="Z17" s="3"/>
    </row>
    <row r="18" ht="41.25" customHeight="1">
      <c r="A18" s="12"/>
      <c r="B18" s="49"/>
      <c r="C18" s="17"/>
      <c r="D18" s="3"/>
      <c r="E18" s="3"/>
      <c r="F18" s="3"/>
      <c r="G18" s="3"/>
      <c r="H18" s="3"/>
      <c r="I18" s="3"/>
      <c r="J18" s="3"/>
      <c r="K18" s="3"/>
      <c r="L18" s="3"/>
      <c r="M18" s="3"/>
      <c r="N18" s="3"/>
      <c r="O18" s="3"/>
      <c r="P18" s="3"/>
      <c r="Q18" s="3"/>
      <c r="R18" s="3"/>
      <c r="S18" s="3"/>
      <c r="T18" s="3"/>
      <c r="U18" s="3"/>
      <c r="V18" s="3"/>
      <c r="W18" s="3"/>
      <c r="X18" s="3"/>
      <c r="Y18" s="3"/>
      <c r="Z18" s="3"/>
    </row>
    <row r="19" ht="41.25" customHeight="1">
      <c r="A19" s="54" t="s">
        <v>58</v>
      </c>
      <c r="B19" s="21"/>
      <c r="C19" s="21"/>
      <c r="D19" s="21"/>
      <c r="E19" s="21"/>
      <c r="F19" s="21"/>
      <c r="G19" s="21"/>
      <c r="H19" s="21"/>
      <c r="I19" s="2"/>
      <c r="J19" s="3"/>
      <c r="K19" s="3"/>
      <c r="L19" s="3"/>
      <c r="M19" s="3"/>
      <c r="N19" s="3"/>
      <c r="O19" s="3"/>
      <c r="P19" s="3"/>
      <c r="Q19" s="3"/>
      <c r="R19" s="3"/>
      <c r="S19" s="3"/>
      <c r="T19" s="3"/>
      <c r="U19" s="3"/>
      <c r="V19" s="3"/>
      <c r="W19" s="3"/>
      <c r="X19" s="3"/>
      <c r="Y19" s="3"/>
      <c r="Z19" s="3"/>
    </row>
    <row r="20" ht="39.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9.0" customHeight="1">
      <c r="A21" s="55" t="s">
        <v>148</v>
      </c>
      <c r="B21" s="5"/>
      <c r="C21" s="17"/>
      <c r="D21" s="3"/>
      <c r="E21" s="3"/>
      <c r="F21" s="3"/>
      <c r="G21" s="3"/>
      <c r="H21" s="3"/>
      <c r="I21" s="3"/>
      <c r="J21" s="3"/>
      <c r="K21" s="3"/>
      <c r="L21" s="3"/>
      <c r="M21" s="3"/>
      <c r="N21" s="3"/>
      <c r="O21" s="3"/>
      <c r="P21" s="3"/>
      <c r="Q21" s="3"/>
      <c r="R21" s="3"/>
      <c r="S21" s="3"/>
      <c r="T21" s="3"/>
      <c r="U21" s="3"/>
      <c r="V21" s="3"/>
      <c r="W21" s="3"/>
      <c r="X21" s="3"/>
      <c r="Y21" s="3"/>
      <c r="Z21" s="3"/>
    </row>
    <row r="22" ht="39.0" customHeight="1">
      <c r="A22" s="12"/>
      <c r="B22" s="49"/>
      <c r="C22" s="17"/>
      <c r="D22" s="3"/>
      <c r="E22" s="3"/>
      <c r="F22" s="3"/>
      <c r="G22" s="3"/>
      <c r="H22" s="3"/>
      <c r="I22" s="3"/>
      <c r="J22" s="3"/>
      <c r="K22" s="3"/>
      <c r="L22" s="3"/>
      <c r="M22" s="3"/>
      <c r="N22" s="3"/>
      <c r="O22" s="3"/>
      <c r="P22" s="3"/>
      <c r="Q22" s="3"/>
      <c r="R22" s="3"/>
      <c r="S22" s="3"/>
      <c r="T22" s="3"/>
      <c r="U22" s="3"/>
      <c r="V22" s="3"/>
      <c r="W22" s="3"/>
      <c r="X22" s="3"/>
      <c r="Y22" s="3"/>
      <c r="Z22" s="3"/>
    </row>
    <row r="23" ht="39.0" customHeight="1">
      <c r="A23" s="75" t="s">
        <v>149</v>
      </c>
      <c r="B23" s="55" t="s">
        <v>34</v>
      </c>
      <c r="C23" s="45"/>
      <c r="D23" s="3"/>
      <c r="E23" s="3"/>
      <c r="F23" s="3"/>
      <c r="G23" s="3"/>
      <c r="H23" s="3"/>
      <c r="I23" s="3"/>
      <c r="J23" s="3"/>
      <c r="K23" s="3"/>
      <c r="L23" s="3"/>
      <c r="M23" s="3"/>
      <c r="N23" s="3"/>
      <c r="O23" s="3"/>
      <c r="P23" s="3"/>
      <c r="Q23" s="3"/>
      <c r="R23" s="3"/>
      <c r="S23" s="3"/>
      <c r="T23" s="3"/>
      <c r="U23" s="3"/>
      <c r="V23" s="3"/>
      <c r="W23" s="3"/>
      <c r="X23" s="3"/>
      <c r="Y23" s="3"/>
      <c r="Z23" s="3"/>
    </row>
    <row r="24" ht="39.0" customHeight="1">
      <c r="A24" s="22"/>
      <c r="B24" s="55" t="s">
        <v>35</v>
      </c>
      <c r="C24" s="45"/>
      <c r="D24" s="3"/>
      <c r="E24" s="3"/>
      <c r="F24" s="3"/>
      <c r="G24" s="3"/>
      <c r="H24" s="3"/>
      <c r="I24" s="3"/>
      <c r="J24" s="3"/>
      <c r="K24" s="3"/>
      <c r="L24" s="3"/>
      <c r="M24" s="3"/>
      <c r="N24" s="3"/>
      <c r="O24" s="3"/>
      <c r="P24" s="3"/>
      <c r="Q24" s="3"/>
      <c r="R24" s="3"/>
      <c r="S24" s="3"/>
      <c r="T24" s="3"/>
      <c r="U24" s="3"/>
      <c r="V24" s="3"/>
      <c r="W24" s="3"/>
      <c r="X24" s="3"/>
      <c r="Y24" s="3"/>
      <c r="Z24" s="3"/>
    </row>
    <row r="25" ht="39.0" customHeight="1">
      <c r="A25" s="12"/>
      <c r="B25" s="12"/>
      <c r="C25" s="12"/>
      <c r="D25" s="3"/>
      <c r="E25" s="3"/>
      <c r="F25" s="3"/>
      <c r="G25" s="3"/>
      <c r="H25" s="3"/>
      <c r="I25" s="3"/>
      <c r="J25" s="3"/>
      <c r="K25" s="3"/>
      <c r="L25" s="3"/>
      <c r="M25" s="3"/>
      <c r="N25" s="3"/>
      <c r="O25" s="3"/>
      <c r="P25" s="3"/>
      <c r="Q25" s="3"/>
      <c r="R25" s="3"/>
      <c r="S25" s="3"/>
      <c r="T25" s="3"/>
      <c r="U25" s="3"/>
      <c r="V25" s="3"/>
      <c r="W25" s="3"/>
      <c r="X25" s="3"/>
      <c r="Y25" s="3"/>
      <c r="Z25" s="3"/>
    </row>
    <row r="26" ht="39.0" customHeight="1">
      <c r="A26" s="12"/>
      <c r="B26" s="12"/>
      <c r="C26" s="12"/>
      <c r="D26" s="3"/>
      <c r="E26" s="3"/>
      <c r="F26" s="3"/>
      <c r="G26" s="3"/>
      <c r="H26" s="3"/>
      <c r="I26" s="3"/>
      <c r="J26" s="3"/>
      <c r="K26" s="3"/>
      <c r="L26" s="3"/>
      <c r="M26" s="3"/>
      <c r="N26" s="3"/>
      <c r="O26" s="3"/>
      <c r="P26" s="3"/>
      <c r="Q26" s="3"/>
      <c r="R26" s="3"/>
      <c r="S26" s="3"/>
      <c r="T26" s="3"/>
      <c r="U26" s="3"/>
      <c r="V26" s="3"/>
      <c r="W26" s="3"/>
      <c r="X26" s="3"/>
      <c r="Y26" s="3"/>
      <c r="Z26" s="3"/>
    </row>
    <row r="27" ht="39.0" customHeight="1">
      <c r="A27" s="55" t="s">
        <v>61</v>
      </c>
      <c r="B27" s="12"/>
      <c r="C27" s="12"/>
      <c r="D27" s="3"/>
      <c r="E27" s="3"/>
      <c r="F27" s="3"/>
      <c r="G27" s="3"/>
      <c r="H27" s="3"/>
      <c r="I27" s="3"/>
      <c r="J27" s="3"/>
      <c r="K27" s="3"/>
      <c r="L27" s="3"/>
      <c r="M27" s="3"/>
      <c r="N27" s="3"/>
      <c r="O27" s="3"/>
      <c r="P27" s="3"/>
      <c r="Q27" s="3"/>
      <c r="R27" s="3"/>
      <c r="S27" s="3"/>
      <c r="T27" s="3"/>
      <c r="U27" s="3"/>
      <c r="V27" s="3"/>
      <c r="W27" s="3"/>
      <c r="X27" s="3"/>
      <c r="Y27" s="3"/>
      <c r="Z27" s="3"/>
    </row>
    <row r="28" ht="39.0" customHeight="1">
      <c r="A28" s="57"/>
      <c r="B28" s="37"/>
      <c r="C28" s="37"/>
      <c r="D28" s="37"/>
      <c r="E28" s="37"/>
      <c r="F28" s="37"/>
      <c r="G28" s="37"/>
      <c r="H28" s="37"/>
      <c r="I28" s="31"/>
      <c r="J28" s="3"/>
      <c r="K28" s="3"/>
      <c r="L28" s="3"/>
      <c r="M28" s="3"/>
      <c r="N28" s="3"/>
      <c r="O28" s="3"/>
      <c r="P28" s="3"/>
      <c r="Q28" s="3"/>
      <c r="R28" s="3"/>
      <c r="S28" s="3"/>
      <c r="T28" s="3"/>
      <c r="U28" s="3"/>
      <c r="V28" s="3"/>
      <c r="W28" s="3"/>
      <c r="X28" s="3"/>
      <c r="Y28" s="3"/>
      <c r="Z28" s="3"/>
    </row>
    <row r="29" ht="39.0" customHeight="1">
      <c r="A29" s="38"/>
      <c r="I29" s="39"/>
      <c r="J29" s="3"/>
      <c r="K29" s="3"/>
      <c r="L29" s="3"/>
      <c r="M29" s="3"/>
      <c r="N29" s="3"/>
      <c r="O29" s="3"/>
      <c r="P29" s="3"/>
      <c r="Q29" s="3"/>
      <c r="R29" s="3"/>
      <c r="S29" s="3"/>
      <c r="T29" s="3"/>
      <c r="U29" s="3"/>
      <c r="V29" s="3"/>
      <c r="W29" s="3"/>
      <c r="X29" s="3"/>
      <c r="Y29" s="3"/>
      <c r="Z29" s="3"/>
    </row>
    <row r="30" ht="39.0" customHeight="1">
      <c r="A30" s="38"/>
      <c r="I30" s="39"/>
      <c r="J30" s="3"/>
      <c r="K30" s="3"/>
      <c r="L30" s="3"/>
      <c r="M30" s="3"/>
      <c r="N30" s="3"/>
      <c r="O30" s="3"/>
      <c r="P30" s="3"/>
      <c r="Q30" s="3"/>
      <c r="R30" s="3"/>
      <c r="S30" s="3"/>
      <c r="T30" s="3"/>
      <c r="U30" s="3"/>
      <c r="V30" s="3"/>
      <c r="W30" s="3"/>
      <c r="X30" s="3"/>
      <c r="Y30" s="3"/>
      <c r="Z30" s="3"/>
    </row>
    <row r="31" ht="39.0" customHeight="1">
      <c r="A31" s="33"/>
      <c r="B31" s="40"/>
      <c r="C31" s="40"/>
      <c r="D31" s="40"/>
      <c r="E31" s="40"/>
      <c r="F31" s="40"/>
      <c r="G31" s="40"/>
      <c r="H31" s="40"/>
      <c r="I31" s="34"/>
      <c r="J31" s="3"/>
      <c r="K31" s="3"/>
      <c r="L31" s="3"/>
      <c r="M31" s="3"/>
      <c r="N31" s="3"/>
      <c r="O31" s="3"/>
      <c r="P31" s="3"/>
      <c r="Q31" s="3"/>
      <c r="R31" s="3"/>
      <c r="S31" s="3"/>
      <c r="T31" s="3"/>
      <c r="U31" s="3"/>
      <c r="V31" s="3"/>
      <c r="W31" s="3"/>
      <c r="X31" s="3"/>
      <c r="Y31" s="3"/>
      <c r="Z31" s="3"/>
    </row>
    <row r="32" ht="39.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9.0" customHeight="1">
      <c r="A33" s="55" t="s">
        <v>62</v>
      </c>
      <c r="B33" s="12"/>
      <c r="C33" s="12"/>
      <c r="D33" s="3"/>
      <c r="E33" s="3"/>
      <c r="F33" s="3"/>
      <c r="G33" s="3"/>
      <c r="H33" s="3"/>
      <c r="I33" s="3"/>
      <c r="J33" s="3"/>
      <c r="K33" s="3"/>
      <c r="L33" s="3"/>
      <c r="M33" s="3"/>
      <c r="N33" s="3"/>
      <c r="O33" s="3"/>
      <c r="P33" s="3"/>
      <c r="Q33" s="3"/>
      <c r="R33" s="3"/>
      <c r="S33" s="3"/>
      <c r="T33" s="3"/>
      <c r="U33" s="3"/>
      <c r="V33" s="3"/>
      <c r="W33" s="3"/>
      <c r="X33" s="3"/>
      <c r="Y33" s="3"/>
      <c r="Z33" s="3"/>
    </row>
    <row r="34" ht="39.0" customHeight="1">
      <c r="A34" s="57"/>
      <c r="B34" s="37"/>
      <c r="C34" s="37"/>
      <c r="D34" s="37"/>
      <c r="E34" s="37"/>
      <c r="F34" s="37"/>
      <c r="G34" s="37"/>
      <c r="H34" s="37"/>
      <c r="I34" s="31"/>
      <c r="J34" s="3"/>
      <c r="K34" s="3"/>
      <c r="L34" s="3"/>
      <c r="M34" s="3"/>
      <c r="N34" s="3"/>
      <c r="O34" s="3"/>
      <c r="P34" s="3"/>
      <c r="Q34" s="3"/>
      <c r="R34" s="3"/>
      <c r="S34" s="3"/>
      <c r="T34" s="3"/>
      <c r="U34" s="3"/>
      <c r="V34" s="3"/>
      <c r="W34" s="3"/>
      <c r="X34" s="3"/>
      <c r="Y34" s="3"/>
      <c r="Z34" s="3"/>
    </row>
    <row r="35" ht="39.0" customHeight="1">
      <c r="A35" s="38"/>
      <c r="I35" s="39"/>
      <c r="J35" s="3"/>
      <c r="K35" s="3"/>
      <c r="L35" s="3"/>
      <c r="M35" s="3"/>
      <c r="N35" s="3"/>
      <c r="O35" s="3"/>
      <c r="P35" s="3"/>
      <c r="Q35" s="3"/>
      <c r="R35" s="3"/>
      <c r="S35" s="3"/>
      <c r="T35" s="3"/>
      <c r="U35" s="3"/>
      <c r="V35" s="3"/>
      <c r="W35" s="3"/>
      <c r="X35" s="3"/>
      <c r="Y35" s="3"/>
      <c r="Z35" s="3"/>
    </row>
    <row r="36" ht="39.0" customHeight="1">
      <c r="A36" s="38"/>
      <c r="I36" s="39"/>
      <c r="J36" s="3"/>
      <c r="K36" s="3"/>
      <c r="L36" s="3"/>
      <c r="M36" s="3"/>
      <c r="N36" s="3"/>
      <c r="O36" s="3"/>
      <c r="P36" s="3"/>
      <c r="Q36" s="3"/>
      <c r="R36" s="3"/>
      <c r="S36" s="3"/>
      <c r="T36" s="3"/>
      <c r="U36" s="3"/>
      <c r="V36" s="3"/>
      <c r="W36" s="3"/>
      <c r="X36" s="3"/>
      <c r="Y36" s="3"/>
      <c r="Z36" s="3"/>
    </row>
    <row r="37" ht="39.0" customHeight="1">
      <c r="A37" s="33"/>
      <c r="B37" s="40"/>
      <c r="C37" s="40"/>
      <c r="D37" s="40"/>
      <c r="E37" s="40"/>
      <c r="F37" s="40"/>
      <c r="G37" s="40"/>
      <c r="H37" s="40"/>
      <c r="I37" s="34"/>
      <c r="J37" s="3"/>
      <c r="K37" s="3"/>
      <c r="L37" s="3"/>
      <c r="M37" s="3"/>
      <c r="N37" s="3"/>
      <c r="O37" s="3"/>
      <c r="P37" s="3"/>
      <c r="Q37" s="3"/>
      <c r="R37" s="3"/>
      <c r="S37" s="3"/>
      <c r="T37" s="3"/>
      <c r="U37" s="3"/>
      <c r="V37" s="3"/>
      <c r="W37" s="3"/>
      <c r="X37" s="3"/>
      <c r="Y37" s="3"/>
      <c r="Z37" s="3"/>
    </row>
    <row r="38" ht="39.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9.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9.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9.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9.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9.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9.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9.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9.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9.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9.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9.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9.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9.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9.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9.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9.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9.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9.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9.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9.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9.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9.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9.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9.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9.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9.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9.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9.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9.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9.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9.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9.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9.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9.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9.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9.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9.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9.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9.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9.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9.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9.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9.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9.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9.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9.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9.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9.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9.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9.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9.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9.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9.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9.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9.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9.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9.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9.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9.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9.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9.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9.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9.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9.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9.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9.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9.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9.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9.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9.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9.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9.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9.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9.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9.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9.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9.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9.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9.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9.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9.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9.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9.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9.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9.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9.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9.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9.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9.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9.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9.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9.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9.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9.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9.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9.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9.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9.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9.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9.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9.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9.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9.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9.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9.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9.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9.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9.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9.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9.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9.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9.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9.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9.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9.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9.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9.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9.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9.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9.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9.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9.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9.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9.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9.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9.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9.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9.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9.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9.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9.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9.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9.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9.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9.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9.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9.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9.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9.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9.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9.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9.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9.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9.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9.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9.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9.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9.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9.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9.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9.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9.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9.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9.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9.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9.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9.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9.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9.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9.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9.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9.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9.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9.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9.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9.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9.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9.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9.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9.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9.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9.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9.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9.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9.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9.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9.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9.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9.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9.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9.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9.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9.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9.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9.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9.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9.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9.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9.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9.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9.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9.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9.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9.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9.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9.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9.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9.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9.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9.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9.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9.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9.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9.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9.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9.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9.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9.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9.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9.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9.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9.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9.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9.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9.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9.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9.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9.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9.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9.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9.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9.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9.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9.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9.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9.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9.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9.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9.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9.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9.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9.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9.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9.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9.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9.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9.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9.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9.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9.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9.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9.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9.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9.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9.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9.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9.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9.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9.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9.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9.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9.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9.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9.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9.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9.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9.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9.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9.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9.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9.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9.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9.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9.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9.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9.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9.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9.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9.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9.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9.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9.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9.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9.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9.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9.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9.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9.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9.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9.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9.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9.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9.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9.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9.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9.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9.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9.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9.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9.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9.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9.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9.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9.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9.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9.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9.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9.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9.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9.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9.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9.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9.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9.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9.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9.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9.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9.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9.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9.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9.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9.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9.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9.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9.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9.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9.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9.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9.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9.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9.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9.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9.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9.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9.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9.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9.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9.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9.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9.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9.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9.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9.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9.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9.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9.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9.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9.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9.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9.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9.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9.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9.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9.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9.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9.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9.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9.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9.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9.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9.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9.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9.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9.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9.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9.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9.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9.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9.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9.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9.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9.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9.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9.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9.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9.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9.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9.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9.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9.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9.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9.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9.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9.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9.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9.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9.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9.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9.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9.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9.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9.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9.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9.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9.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9.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9.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9.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9.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9.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9.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9.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9.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9.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9.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9.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9.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9.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9.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9.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9.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9.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9.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9.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9.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9.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9.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9.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9.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9.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9.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9.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9.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9.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9.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9.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9.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9.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9.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9.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9.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9.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9.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9.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9.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9.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9.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9.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9.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9.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9.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9.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9.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9.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9.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9.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9.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9.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9.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9.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9.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9.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9.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9.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9.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9.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9.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9.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9.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9.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9.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9.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9.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9.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9.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9.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9.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9.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9.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9.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9.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9.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9.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9.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9.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9.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9.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9.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9.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9.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9.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9.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9.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9.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9.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9.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9.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9.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9.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9.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9.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9.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9.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9.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9.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9.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9.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9.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9.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9.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9.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9.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9.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9.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9.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9.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9.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9.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9.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9.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9.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9.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9.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9.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9.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9.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9.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9.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9.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9.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9.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9.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9.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9.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9.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9.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9.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9.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9.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9.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9.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9.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9.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9.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9.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9.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9.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9.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9.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9.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9.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9.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9.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9.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9.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9.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9.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9.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9.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9.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9.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9.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9.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9.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9.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9.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9.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9.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9.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9.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9.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9.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9.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9.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9.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9.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9.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9.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9.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9.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9.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9.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9.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9.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9.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9.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9.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9.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9.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9.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9.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9.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9.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9.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9.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9.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9.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9.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9.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9.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9.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9.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9.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9.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9.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9.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9.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9.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9.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9.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9.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9.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9.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9.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9.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9.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9.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9.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9.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9.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9.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9.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9.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9.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9.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9.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9.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9.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9.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9.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9.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9.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9.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9.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9.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9.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9.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9.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9.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9.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9.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9.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9.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9.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9.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9.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9.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9.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9.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9.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9.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9.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9.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9.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9.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9.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9.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9.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9.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9.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9.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9.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9.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9.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9.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9.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9.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9.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9.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9.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9.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9.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9.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9.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9.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9.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9.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9.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9.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9.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9.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9.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9.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9.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9.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9.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9.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9.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9.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9.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9.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9.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9.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9.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9.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9.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9.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9.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9.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9.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9.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9.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9.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9.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9.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9.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9.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9.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9.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9.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9.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9.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9.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9.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9.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9.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9.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9.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9.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9.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9.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9.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9.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9.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9.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9.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9.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9.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9.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9.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9.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9.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9.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9.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9.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9.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9.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9.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9.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9.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9.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9.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9.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9.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9.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9.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9.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9.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9.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9.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9.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9.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9.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9.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9.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9.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9.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9.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9.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9.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9.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9.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9.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9.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9.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9.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9.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9.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9.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9.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9.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9.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9.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9.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9.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9.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9.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9.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9.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9.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9.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9.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9.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9.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9.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9.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9.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9.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9.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9.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9.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9.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9.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9.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9.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9.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9.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9.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9.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9.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9.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9.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9.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9.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9.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9.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9.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9.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9.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9.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9.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9.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9.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9.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9.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9.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9.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9.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9.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9.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9.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9.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9.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9.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9.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9.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9.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9.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9.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9.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9.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9.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9.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9.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9.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9.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9.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9.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9.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9.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9.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9.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9.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9.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9.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9.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9.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9.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9.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9.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9.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9.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9.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9.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9.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9.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9.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9.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9.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9.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9.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9.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9.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9.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9.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9.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9.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9.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9.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9.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9.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9.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9.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9.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9.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9.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9.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9.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9.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9.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9.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9.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9.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9.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9.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9.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9.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9.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9.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9.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9.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9.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9.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9.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9.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9.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9.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9.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9.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9.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9.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9.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9.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9.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9.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9.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9.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9.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9.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9.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9.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9.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9.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9.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9.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9.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9.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9.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9.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9.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9.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9.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9.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9.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9.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9.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9.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9.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9.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9.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9.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9.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9.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9.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9.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9.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9.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9.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9.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9.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9.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9.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9.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9.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9.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9.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9.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9.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9.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9.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9.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9.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9.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9.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9.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9.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9.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9.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9.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9.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9.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9.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9.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9.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9.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9.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9.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9.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9.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9.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9.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9.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9.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9.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9.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9.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9.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9.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9.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9.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9.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A1:I1"/>
    <mergeCell ref="A2:I2"/>
    <mergeCell ref="A8:A9"/>
    <mergeCell ref="A12:I15"/>
    <mergeCell ref="A19:I19"/>
    <mergeCell ref="A23:A24"/>
    <mergeCell ref="A28:I31"/>
    <mergeCell ref="A34:I37"/>
  </mergeCells>
  <conditionalFormatting sqref="A34:I37">
    <cfRule type="containsBlanks" dxfId="1" priority="1">
      <formula>LEN(TRIM(A34))=0</formula>
    </cfRule>
  </conditionalFormatting>
  <conditionalFormatting sqref="B21">
    <cfRule type="containsBlanks" dxfId="1" priority="2">
      <formula>LEN(TRIM(B21))=0</formula>
    </cfRule>
  </conditionalFormatting>
  <conditionalFormatting sqref="A28:I31 C23:C24">
    <cfRule type="containsBlanks" dxfId="1" priority="3">
      <formula>LEN(TRIM(A28))=0</formula>
    </cfRule>
  </conditionalFormatting>
  <conditionalFormatting sqref="A12:I15 C8:D9">
    <cfRule type="containsBlanks" dxfId="0" priority="4">
      <formula>LEN(TRIM(A12))=0</formula>
    </cfRule>
  </conditionalFormatting>
  <conditionalFormatting sqref="B4">
    <cfRule type="containsBlanks" dxfId="3" priority="5">
      <formula>LEN(TRIM(B4))=0</formula>
    </cfRule>
  </conditionalFormatting>
  <dataValidations>
    <dataValidation type="list" allowBlank="1" showErrorMessage="1" sqref="C23:C24">
      <formula1>"X"</formula1>
    </dataValidation>
  </dataValidations>
  <printOptions/>
  <pageMargins bottom="0.748031496062992" footer="0.0" header="0.0" left="0.708661417322835" right="0.708661417322835" top="0.748031496062992"/>
  <pageSetup paperSize="66" orientation="landscape"/>
  <headerFooter>
    <oddHeader>&amp;L000000</oddHeader>
  </headerFooter>
  <rowBreaks count="1" manualBreakCount="1">
    <brk id="15"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121</v>
      </c>
      <c r="B1" s="7"/>
      <c r="C1" s="7"/>
      <c r="D1" s="7"/>
      <c r="E1" s="7"/>
      <c r="F1" s="7"/>
      <c r="G1" s="7"/>
      <c r="H1" s="8"/>
      <c r="I1" s="9"/>
      <c r="J1" s="9"/>
      <c r="K1" s="9"/>
      <c r="L1" s="9"/>
      <c r="M1" s="3"/>
      <c r="N1" s="3"/>
      <c r="O1" s="3"/>
      <c r="P1" s="3"/>
      <c r="Q1" s="3"/>
      <c r="R1" s="3"/>
      <c r="S1" s="3"/>
      <c r="T1" s="3"/>
      <c r="U1" s="3"/>
      <c r="V1" s="3"/>
      <c r="W1" s="3"/>
      <c r="X1" s="3"/>
      <c r="Y1" s="3"/>
      <c r="Z1" s="3"/>
    </row>
    <row r="2" ht="195.75" customHeight="1">
      <c r="A2" s="10" t="s">
        <v>150</v>
      </c>
      <c r="I2" s="11"/>
      <c r="J2" s="11"/>
      <c r="K2" s="11"/>
      <c r="L2" s="11"/>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71"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40.5" customHeight="1">
      <c r="A12" s="25" t="s">
        <v>151</v>
      </c>
      <c r="B12" s="26" t="s">
        <v>152</v>
      </c>
      <c r="C12" s="86"/>
      <c r="D12" s="86"/>
      <c r="E12" s="86"/>
      <c r="F12" s="61"/>
      <c r="G12" s="61"/>
      <c r="H12" s="61"/>
      <c r="I12" s="3"/>
      <c r="J12" s="3"/>
      <c r="K12" s="3"/>
      <c r="L12" s="3"/>
      <c r="M12" s="3"/>
      <c r="N12" s="3"/>
      <c r="O12" s="3"/>
      <c r="P12" s="3"/>
      <c r="Q12" s="3"/>
      <c r="R12" s="3"/>
      <c r="S12" s="3"/>
      <c r="T12" s="3"/>
      <c r="U12" s="3"/>
      <c r="V12" s="3"/>
      <c r="W12" s="3"/>
      <c r="X12" s="3"/>
      <c r="Y12" s="3"/>
      <c r="Z12" s="3"/>
    </row>
    <row r="13" ht="40.5" customHeight="1">
      <c r="A13" s="29"/>
      <c r="B13" s="26" t="s">
        <v>153</v>
      </c>
      <c r="C13" s="86"/>
      <c r="D13" s="86"/>
      <c r="E13" s="86"/>
      <c r="F13" s="29"/>
      <c r="G13" s="29"/>
      <c r="H13" s="29"/>
      <c r="I13" s="3"/>
      <c r="J13" s="3"/>
      <c r="K13" s="3"/>
      <c r="L13" s="3"/>
      <c r="M13" s="3"/>
      <c r="N13" s="3"/>
      <c r="O13" s="3"/>
      <c r="P13" s="3"/>
      <c r="Q13" s="3"/>
      <c r="R13" s="3"/>
      <c r="S13" s="3"/>
      <c r="T13" s="3"/>
      <c r="U13" s="3"/>
      <c r="V13" s="3"/>
      <c r="W13" s="3"/>
      <c r="X13" s="3"/>
      <c r="Y13" s="3"/>
      <c r="Z13" s="3"/>
    </row>
    <row r="14" ht="40.5" customHeight="1">
      <c r="A14" s="29"/>
      <c r="B14" s="26" t="s">
        <v>154</v>
      </c>
      <c r="C14" s="86"/>
      <c r="D14" s="86"/>
      <c r="E14" s="86"/>
      <c r="F14" s="29"/>
      <c r="G14" s="29"/>
      <c r="H14" s="29"/>
      <c r="I14" s="3"/>
      <c r="J14" s="3"/>
      <c r="K14" s="3"/>
      <c r="L14" s="3"/>
      <c r="M14" s="3"/>
      <c r="N14" s="3"/>
      <c r="O14" s="3"/>
      <c r="P14" s="3"/>
      <c r="Q14" s="3"/>
      <c r="R14" s="3"/>
      <c r="S14" s="3"/>
      <c r="T14" s="3"/>
      <c r="U14" s="3"/>
      <c r="V14" s="3"/>
      <c r="W14" s="3"/>
      <c r="X14" s="3"/>
      <c r="Y14" s="3"/>
      <c r="Z14" s="3"/>
    </row>
    <row r="15" ht="40.5" customHeight="1">
      <c r="A15" s="22"/>
      <c r="B15" s="26" t="s">
        <v>155</v>
      </c>
      <c r="C15" s="86"/>
      <c r="D15" s="86"/>
      <c r="E15" s="86"/>
      <c r="F15" s="22"/>
      <c r="G15" s="22"/>
      <c r="H15" s="22"/>
      <c r="I15" s="3"/>
      <c r="J15" s="3"/>
      <c r="K15" s="3"/>
      <c r="L15" s="3"/>
      <c r="M15" s="3"/>
      <c r="N15" s="3"/>
      <c r="O15" s="3"/>
      <c r="P15" s="3"/>
      <c r="Q15" s="3"/>
      <c r="R15" s="3"/>
      <c r="S15" s="3"/>
      <c r="T15" s="3"/>
      <c r="U15" s="3"/>
      <c r="V15" s="3"/>
      <c r="W15" s="3"/>
      <c r="X15" s="3"/>
      <c r="Y15" s="3"/>
      <c r="Z15" s="3"/>
    </row>
    <row r="16" ht="40.5" customHeight="1">
      <c r="A16" s="25" t="s">
        <v>156</v>
      </c>
      <c r="B16" s="26" t="s">
        <v>157</v>
      </c>
      <c r="C16" s="86"/>
      <c r="D16" s="86"/>
      <c r="E16" s="86"/>
      <c r="F16" s="61"/>
      <c r="G16" s="61"/>
      <c r="H16" s="61"/>
      <c r="I16" s="3"/>
      <c r="J16" s="3"/>
      <c r="K16" s="3"/>
      <c r="L16" s="3"/>
      <c r="M16" s="3"/>
      <c r="N16" s="3"/>
      <c r="O16" s="3"/>
      <c r="P16" s="3"/>
      <c r="Q16" s="3"/>
      <c r="R16" s="3"/>
      <c r="S16" s="3"/>
      <c r="T16" s="3"/>
      <c r="U16" s="3"/>
      <c r="V16" s="3"/>
      <c r="W16" s="3"/>
      <c r="X16" s="3"/>
      <c r="Y16" s="3"/>
      <c r="Z16" s="3"/>
    </row>
    <row r="17" ht="40.5" customHeight="1">
      <c r="A17" s="29"/>
      <c r="B17" s="26" t="s">
        <v>158</v>
      </c>
      <c r="C17" s="86"/>
      <c r="D17" s="86"/>
      <c r="E17" s="86"/>
      <c r="F17" s="29"/>
      <c r="G17" s="29"/>
      <c r="H17" s="29"/>
      <c r="I17" s="3"/>
      <c r="J17" s="3"/>
      <c r="K17" s="3"/>
      <c r="L17" s="3"/>
      <c r="M17" s="3"/>
      <c r="N17" s="3"/>
      <c r="O17" s="3"/>
      <c r="P17" s="3"/>
      <c r="Q17" s="3"/>
      <c r="R17" s="3"/>
      <c r="S17" s="3"/>
      <c r="T17" s="3"/>
      <c r="U17" s="3"/>
      <c r="V17" s="3"/>
      <c r="W17" s="3"/>
      <c r="X17" s="3"/>
      <c r="Y17" s="3"/>
      <c r="Z17" s="3"/>
    </row>
    <row r="18" ht="40.5" customHeight="1">
      <c r="A18" s="22"/>
      <c r="B18" s="26" t="s">
        <v>159</v>
      </c>
      <c r="C18" s="86"/>
      <c r="D18" s="86"/>
      <c r="E18" s="86"/>
      <c r="F18" s="22"/>
      <c r="G18" s="22"/>
      <c r="H18" s="22"/>
      <c r="I18" s="3"/>
      <c r="J18" s="3"/>
      <c r="K18" s="3"/>
      <c r="L18" s="3"/>
      <c r="M18" s="3"/>
      <c r="N18" s="3"/>
      <c r="O18" s="3"/>
      <c r="P18" s="3"/>
      <c r="Q18" s="3"/>
      <c r="R18" s="3"/>
      <c r="S18" s="3"/>
      <c r="T18" s="3"/>
      <c r="U18" s="3"/>
      <c r="V18" s="3"/>
      <c r="W18" s="3"/>
      <c r="X18" s="3"/>
      <c r="Y18" s="3"/>
      <c r="Z18" s="3"/>
    </row>
    <row r="19" ht="25.5" customHeight="1">
      <c r="A19" s="12"/>
      <c r="B19" s="12"/>
      <c r="C19" s="12"/>
      <c r="D19" s="12"/>
      <c r="E19" s="30" t="s">
        <v>33</v>
      </c>
      <c r="F19" s="31"/>
      <c r="G19" s="5" t="s">
        <v>34</v>
      </c>
      <c r="H19" s="32" t="str">
        <f>IF(AND(OR(F12="X", H12="X"), OR(F16="X",H16= "X")), "X", "")</f>
        <v/>
      </c>
      <c r="I19" s="3"/>
      <c r="J19" s="3"/>
      <c r="K19" s="3"/>
      <c r="L19" s="3"/>
      <c r="M19" s="3"/>
      <c r="N19" s="3"/>
      <c r="O19" s="3"/>
      <c r="P19" s="3"/>
      <c r="Q19" s="3"/>
      <c r="R19" s="3"/>
      <c r="S19" s="3"/>
      <c r="T19" s="3"/>
      <c r="U19" s="3"/>
      <c r="V19" s="3"/>
      <c r="W19" s="3"/>
      <c r="X19" s="3"/>
      <c r="Y19" s="3"/>
      <c r="Z19" s="3"/>
    </row>
    <row r="20" ht="25.5" customHeight="1">
      <c r="A20" s="12"/>
      <c r="B20" s="12"/>
      <c r="C20" s="12"/>
      <c r="D20" s="12"/>
      <c r="E20" s="33"/>
      <c r="F20" s="34"/>
      <c r="G20" s="5" t="s">
        <v>35</v>
      </c>
      <c r="H20" s="32" t="str">
        <f>IF(OR(G12="X",G16= "X"), "X", "")</f>
        <v/>
      </c>
      <c r="I20" s="3"/>
      <c r="J20" s="3"/>
      <c r="K20" s="3"/>
      <c r="L20" s="3"/>
      <c r="M20" s="3"/>
      <c r="N20" s="3"/>
      <c r="O20" s="3"/>
      <c r="P20" s="3"/>
      <c r="Q20" s="3"/>
      <c r="R20" s="3"/>
      <c r="S20" s="3"/>
      <c r="T20" s="3"/>
      <c r="U20" s="3"/>
      <c r="V20" s="3"/>
      <c r="W20" s="3"/>
      <c r="X20" s="3"/>
      <c r="Y20" s="3"/>
      <c r="Z20" s="3"/>
    </row>
    <row r="21" ht="34.5" customHeight="1">
      <c r="A21" s="12"/>
      <c r="B21" s="12"/>
      <c r="C21" s="12"/>
      <c r="D21" s="12"/>
      <c r="E21" s="12"/>
      <c r="F21" s="15"/>
      <c r="G21" s="15"/>
      <c r="H21" s="12"/>
      <c r="I21" s="3"/>
      <c r="J21" s="3"/>
      <c r="K21" s="3"/>
      <c r="L21" s="3"/>
      <c r="M21" s="3"/>
      <c r="N21" s="3"/>
      <c r="O21" s="3"/>
      <c r="P21" s="3"/>
      <c r="Q21" s="3"/>
      <c r="R21" s="3"/>
      <c r="S21" s="3"/>
      <c r="T21" s="3"/>
      <c r="U21" s="3"/>
      <c r="V21" s="3"/>
      <c r="W21" s="3"/>
      <c r="X21" s="3"/>
      <c r="Y21" s="3"/>
      <c r="Z21" s="3"/>
    </row>
    <row r="22" ht="34.5" customHeight="1">
      <c r="A22" s="87" t="s">
        <v>36</v>
      </c>
      <c r="B22" s="12"/>
      <c r="C22" s="12"/>
      <c r="D22" s="12"/>
      <c r="E22" s="12"/>
      <c r="F22" s="15"/>
      <c r="G22" s="15"/>
      <c r="H22" s="12"/>
      <c r="I22" s="3"/>
      <c r="J22" s="3"/>
      <c r="K22" s="3"/>
      <c r="L22" s="3"/>
      <c r="M22" s="3"/>
      <c r="N22" s="3"/>
      <c r="O22" s="3"/>
      <c r="P22" s="3"/>
      <c r="Q22" s="3"/>
      <c r="R22" s="3"/>
      <c r="S22" s="3"/>
      <c r="T22" s="3"/>
      <c r="U22" s="3"/>
      <c r="V22" s="3"/>
      <c r="W22" s="3"/>
      <c r="X22" s="3"/>
      <c r="Y22" s="3"/>
      <c r="Z22" s="3"/>
    </row>
    <row r="23" ht="34.5" customHeight="1">
      <c r="A23" s="36"/>
      <c r="B23" s="37"/>
      <c r="C23" s="37"/>
      <c r="D23" s="37"/>
      <c r="E23" s="37"/>
      <c r="F23" s="37"/>
      <c r="G23" s="37"/>
      <c r="H23" s="31"/>
      <c r="I23" s="3"/>
      <c r="J23" s="3"/>
      <c r="K23" s="3"/>
      <c r="L23" s="3"/>
      <c r="M23" s="3"/>
      <c r="N23" s="3"/>
      <c r="O23" s="3"/>
      <c r="P23" s="3"/>
      <c r="Q23" s="3"/>
      <c r="R23" s="3"/>
      <c r="S23" s="3"/>
      <c r="T23" s="3"/>
      <c r="U23" s="3"/>
      <c r="V23" s="3"/>
      <c r="W23" s="3"/>
      <c r="X23" s="3"/>
      <c r="Y23" s="3"/>
      <c r="Z23" s="3"/>
    </row>
    <row r="24" ht="34.5" customHeight="1">
      <c r="A24" s="38"/>
      <c r="H24" s="39"/>
      <c r="I24" s="3"/>
      <c r="J24" s="3"/>
      <c r="K24" s="3"/>
      <c r="L24" s="3"/>
      <c r="M24" s="3"/>
      <c r="N24" s="3"/>
      <c r="O24" s="3"/>
      <c r="P24" s="3"/>
      <c r="Q24" s="3"/>
      <c r="R24" s="3"/>
      <c r="S24" s="3"/>
      <c r="T24" s="3"/>
      <c r="U24" s="3"/>
      <c r="V24" s="3"/>
      <c r="W24" s="3"/>
      <c r="X24" s="3"/>
      <c r="Y24" s="3"/>
      <c r="Z24" s="3"/>
    </row>
    <row r="25" ht="34.5" customHeight="1">
      <c r="A25" s="33"/>
      <c r="B25" s="40"/>
      <c r="C25" s="40"/>
      <c r="D25" s="40"/>
      <c r="E25" s="40"/>
      <c r="F25" s="40"/>
      <c r="G25" s="40"/>
      <c r="H25" s="34"/>
      <c r="I25" s="3"/>
      <c r="J25" s="3"/>
      <c r="K25" s="3"/>
      <c r="L25" s="3"/>
      <c r="M25" s="3"/>
      <c r="N25" s="3"/>
      <c r="O25" s="3"/>
      <c r="P25" s="3"/>
      <c r="Q25" s="3"/>
      <c r="R25" s="3"/>
      <c r="S25" s="3"/>
      <c r="T25" s="3"/>
      <c r="U25" s="3"/>
      <c r="V25" s="3"/>
      <c r="W25" s="3"/>
      <c r="X25" s="3"/>
      <c r="Y25" s="3"/>
      <c r="Z25" s="3"/>
    </row>
    <row r="26" ht="34.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4.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4.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4.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F12:F15"/>
    <mergeCell ref="G12:G15"/>
    <mergeCell ref="F16:F18"/>
    <mergeCell ref="G16:G18"/>
    <mergeCell ref="H16:H18"/>
    <mergeCell ref="E19:F20"/>
    <mergeCell ref="A23:H25"/>
    <mergeCell ref="A12:A15"/>
    <mergeCell ref="A16:A18"/>
    <mergeCell ref="A1:H1"/>
    <mergeCell ref="A2:H2"/>
    <mergeCell ref="A10:A11"/>
    <mergeCell ref="B10:B11"/>
    <mergeCell ref="C10:E10"/>
    <mergeCell ref="F10:H10"/>
    <mergeCell ref="H12:H15"/>
  </mergeCells>
  <conditionalFormatting sqref="A23:H25 B4 B7 C12:H12 C13:E15 C16:H16 C17:E18 H19:H20">
    <cfRule type="containsBlanks" dxfId="0" priority="1">
      <formula>LEN(TRIM(A23))=0</formula>
    </cfRule>
  </conditionalFormatting>
  <conditionalFormatting sqref="B5">
    <cfRule type="containsBlanks" dxfId="3" priority="2">
      <formula>LEN(TRIM(B5))=0</formula>
    </cfRule>
  </conditionalFormatting>
  <dataValidations>
    <dataValidation type="list" allowBlank="1" showErrorMessage="1" sqref="C12:H12 C13:E15 C16:H16 C17:E18">
      <formula1>"X"</formula1>
    </dataValidation>
    <dataValidation type="custom" allowBlank="1" showInputMessage="1" showErrorMessage="1" prompt="Erreur de saisie - Le commentaire est obligatoire. Veuillez remplir cette section" sqref="A23">
      <formula1>GT(LEN(A23),(2))</formula1>
    </dataValidation>
  </dataValidations>
  <printOptions/>
  <pageMargins bottom="0.748031496062992" footer="0.0" header="0.0" left="0.708661417322835" right="0.708661417322835" top="0.748031496062992"/>
  <pageSetup paperSize="8" scale="60" orientation="landscape"/>
  <headerFooter>
    <oddHeader>&amp;L000000</oddHead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43"/>
    <col customWidth="1" min="3" max="8" width="20.43"/>
    <col customWidth="1" min="9" max="26" width="11.43"/>
  </cols>
  <sheetData>
    <row r="1" ht="73.5" customHeight="1">
      <c r="A1" s="6" t="s">
        <v>121</v>
      </c>
      <c r="B1" s="7"/>
      <c r="C1" s="7"/>
      <c r="D1" s="7"/>
      <c r="E1" s="7"/>
      <c r="F1" s="7"/>
      <c r="G1" s="7"/>
      <c r="H1" s="8"/>
      <c r="I1" s="9"/>
      <c r="J1" s="9"/>
      <c r="K1" s="9"/>
      <c r="L1" s="9"/>
      <c r="M1" s="3"/>
      <c r="N1" s="3"/>
      <c r="O1" s="3"/>
      <c r="P1" s="3"/>
      <c r="Q1" s="3"/>
      <c r="R1" s="3"/>
      <c r="S1" s="3"/>
      <c r="T1" s="3"/>
      <c r="U1" s="3"/>
      <c r="V1" s="3"/>
      <c r="W1" s="3"/>
      <c r="X1" s="3"/>
      <c r="Y1" s="3"/>
      <c r="Z1" s="3"/>
    </row>
    <row r="2" ht="195.75" customHeight="1">
      <c r="A2" s="10" t="s">
        <v>160</v>
      </c>
      <c r="I2" s="11"/>
      <c r="J2" s="11"/>
      <c r="K2" s="11"/>
      <c r="L2" s="11"/>
      <c r="M2" s="3"/>
      <c r="N2" s="3"/>
      <c r="O2" s="3"/>
      <c r="P2" s="3"/>
      <c r="Q2" s="3"/>
      <c r="R2" s="3"/>
      <c r="S2" s="3"/>
      <c r="T2" s="3"/>
      <c r="U2" s="3"/>
      <c r="V2" s="3"/>
      <c r="W2" s="3"/>
      <c r="X2" s="3"/>
      <c r="Y2" s="3"/>
      <c r="Z2" s="3"/>
    </row>
    <row r="3" ht="34.5" customHeight="1">
      <c r="A3" s="12"/>
      <c r="B3" s="12"/>
      <c r="C3" s="12"/>
      <c r="D3" s="12"/>
      <c r="E3" s="12"/>
      <c r="F3" s="12"/>
      <c r="G3" s="12"/>
      <c r="H3" s="12"/>
      <c r="I3" s="3"/>
      <c r="J3" s="3"/>
      <c r="K3" s="3"/>
      <c r="L3" s="3"/>
      <c r="M3" s="3"/>
      <c r="N3" s="3"/>
      <c r="O3" s="3"/>
      <c r="P3" s="3"/>
      <c r="Q3" s="3"/>
      <c r="R3" s="3"/>
      <c r="S3" s="3"/>
      <c r="T3" s="3"/>
      <c r="U3" s="3"/>
      <c r="V3" s="3"/>
      <c r="W3" s="3"/>
      <c r="X3" s="3"/>
      <c r="Y3" s="3"/>
      <c r="Z3" s="3"/>
    </row>
    <row r="4" ht="34.5" customHeight="1">
      <c r="A4" s="13" t="s">
        <v>4</v>
      </c>
      <c r="B4" s="5"/>
      <c r="C4" s="14"/>
      <c r="D4" s="3"/>
      <c r="E4" s="14"/>
      <c r="F4" s="14"/>
      <c r="G4" s="14"/>
      <c r="H4" s="14"/>
      <c r="I4" s="3"/>
      <c r="J4" s="3"/>
      <c r="K4" s="3"/>
      <c r="L4" s="3"/>
      <c r="M4" s="3"/>
      <c r="N4" s="3"/>
      <c r="O4" s="3"/>
      <c r="P4" s="3"/>
      <c r="Q4" s="3"/>
      <c r="R4" s="3"/>
      <c r="S4" s="3"/>
      <c r="T4" s="3"/>
      <c r="U4" s="3"/>
      <c r="V4" s="3"/>
      <c r="W4" s="3"/>
      <c r="X4" s="3"/>
      <c r="Y4" s="3"/>
      <c r="Z4" s="3"/>
    </row>
    <row r="5" ht="34.5" customHeight="1">
      <c r="A5" s="13" t="s">
        <v>5</v>
      </c>
      <c r="B5" s="71" t="str">
        <f>IF(NOMPRENOM="", "", NOMPRENOM)</f>
        <v/>
      </c>
      <c r="C5" s="12"/>
      <c r="D5" s="15"/>
      <c r="E5" s="12"/>
      <c r="F5" s="12"/>
      <c r="G5" s="12"/>
      <c r="H5" s="12"/>
      <c r="I5" s="3"/>
      <c r="J5" s="3"/>
      <c r="K5" s="3"/>
      <c r="L5" s="3"/>
      <c r="M5" s="3"/>
      <c r="N5" s="3"/>
      <c r="O5" s="3"/>
      <c r="P5" s="3"/>
      <c r="Q5" s="3"/>
      <c r="R5" s="3"/>
      <c r="S5" s="3"/>
      <c r="T5" s="3"/>
      <c r="U5" s="3"/>
      <c r="V5" s="3"/>
      <c r="W5" s="3"/>
      <c r="X5" s="3"/>
      <c r="Y5" s="3"/>
      <c r="Z5" s="3"/>
    </row>
    <row r="6" ht="34.5" customHeight="1">
      <c r="A6" s="16"/>
      <c r="B6" s="17"/>
      <c r="C6" s="12"/>
      <c r="D6" s="12"/>
      <c r="E6" s="12"/>
      <c r="F6" s="12"/>
      <c r="G6" s="12"/>
      <c r="H6" s="12"/>
      <c r="I6" s="3"/>
      <c r="J6" s="3"/>
      <c r="K6" s="3"/>
      <c r="L6" s="3"/>
      <c r="M6" s="3"/>
      <c r="N6" s="3"/>
      <c r="O6" s="3"/>
      <c r="P6" s="3"/>
      <c r="Q6" s="3"/>
      <c r="R6" s="3"/>
      <c r="S6" s="3"/>
      <c r="T6" s="3"/>
      <c r="U6" s="3"/>
      <c r="V6" s="3"/>
      <c r="W6" s="3"/>
      <c r="X6" s="3"/>
      <c r="Y6" s="3"/>
      <c r="Z6" s="3"/>
    </row>
    <row r="7" ht="34.5" customHeight="1">
      <c r="A7" s="13" t="s">
        <v>6</v>
      </c>
      <c r="B7" s="5"/>
      <c r="C7" s="12"/>
      <c r="D7" s="12"/>
      <c r="E7" s="12"/>
      <c r="F7" s="12"/>
      <c r="G7" s="12"/>
      <c r="H7" s="12"/>
      <c r="I7" s="3"/>
      <c r="J7" s="3"/>
      <c r="K7" s="3"/>
      <c r="L7" s="3"/>
      <c r="M7" s="3"/>
      <c r="N7" s="3"/>
      <c r="O7" s="3"/>
      <c r="P7" s="3"/>
      <c r="Q7" s="3"/>
      <c r="R7" s="3"/>
      <c r="S7" s="3"/>
      <c r="T7" s="3"/>
      <c r="U7" s="3"/>
      <c r="V7" s="3"/>
      <c r="W7" s="3"/>
      <c r="X7" s="3"/>
      <c r="Y7" s="3"/>
      <c r="Z7" s="3"/>
    </row>
    <row r="8" ht="18.0" customHeight="1">
      <c r="A8" s="12"/>
      <c r="B8" s="12"/>
      <c r="C8" s="12"/>
      <c r="D8" s="12"/>
      <c r="E8" s="12"/>
      <c r="F8" s="12"/>
      <c r="G8" s="12"/>
      <c r="H8" s="12"/>
      <c r="I8" s="3"/>
      <c r="J8" s="3"/>
      <c r="K8" s="3"/>
      <c r="L8" s="3"/>
      <c r="M8" s="3"/>
      <c r="N8" s="3"/>
      <c r="O8" s="3"/>
      <c r="P8" s="3"/>
      <c r="Q8" s="3"/>
      <c r="R8" s="3"/>
      <c r="S8" s="3"/>
      <c r="T8" s="3"/>
      <c r="U8" s="3"/>
      <c r="V8" s="3"/>
      <c r="W8" s="3"/>
      <c r="X8" s="3"/>
      <c r="Y8" s="3"/>
      <c r="Z8" s="3"/>
    </row>
    <row r="9" ht="18.0" customHeight="1">
      <c r="A9" s="12"/>
      <c r="B9" s="12"/>
      <c r="C9" s="12"/>
      <c r="D9" s="12"/>
      <c r="E9" s="12"/>
      <c r="F9" s="12"/>
      <c r="G9" s="12"/>
      <c r="H9" s="12"/>
      <c r="I9" s="3"/>
      <c r="J9" s="3"/>
      <c r="K9" s="3"/>
      <c r="L9" s="3"/>
      <c r="M9" s="3"/>
      <c r="N9" s="3"/>
      <c r="O9" s="3"/>
      <c r="P9" s="3"/>
      <c r="Q9" s="3"/>
      <c r="R9" s="3"/>
      <c r="S9" s="3"/>
      <c r="T9" s="3"/>
      <c r="U9" s="3"/>
      <c r="V9" s="3"/>
      <c r="W9" s="3"/>
      <c r="X9" s="3"/>
      <c r="Y9" s="3"/>
      <c r="Z9" s="3"/>
    </row>
    <row r="10" ht="57.0" customHeight="1">
      <c r="A10" s="18" t="s">
        <v>7</v>
      </c>
      <c r="B10" s="19" t="s">
        <v>8</v>
      </c>
      <c r="C10" s="20" t="s">
        <v>64</v>
      </c>
      <c r="D10" s="21"/>
      <c r="E10" s="2"/>
      <c r="F10" s="20" t="s">
        <v>10</v>
      </c>
      <c r="G10" s="21"/>
      <c r="H10" s="2"/>
      <c r="I10" s="3"/>
      <c r="J10" s="3"/>
      <c r="K10" s="3"/>
      <c r="L10" s="3"/>
      <c r="M10" s="3"/>
      <c r="N10" s="3"/>
      <c r="O10" s="3"/>
      <c r="P10" s="3"/>
      <c r="Q10" s="3"/>
      <c r="R10" s="3"/>
      <c r="S10" s="3"/>
      <c r="T10" s="3"/>
      <c r="U10" s="3"/>
      <c r="V10" s="3"/>
      <c r="W10" s="3"/>
      <c r="X10" s="3"/>
      <c r="Y10" s="3"/>
      <c r="Z10" s="3"/>
    </row>
    <row r="11" ht="57.0" customHeight="1">
      <c r="A11" s="22"/>
      <c r="B11" s="22"/>
      <c r="C11" s="23" t="s">
        <v>11</v>
      </c>
      <c r="D11" s="23" t="s">
        <v>12</v>
      </c>
      <c r="E11" s="23" t="s">
        <v>13</v>
      </c>
      <c r="F11" s="24" t="s">
        <v>14</v>
      </c>
      <c r="G11" s="24" t="s">
        <v>15</v>
      </c>
      <c r="H11" s="24" t="s">
        <v>16</v>
      </c>
      <c r="I11" s="3"/>
      <c r="J11" s="3"/>
      <c r="K11" s="3"/>
      <c r="L11" s="3"/>
      <c r="M11" s="3"/>
      <c r="N11" s="3"/>
      <c r="O11" s="3"/>
      <c r="P11" s="3"/>
      <c r="Q11" s="3"/>
      <c r="R11" s="3"/>
      <c r="S11" s="3"/>
      <c r="T11" s="3"/>
      <c r="U11" s="3"/>
      <c r="V11" s="3"/>
      <c r="W11" s="3"/>
      <c r="X11" s="3"/>
      <c r="Y11" s="3"/>
      <c r="Z11" s="3"/>
    </row>
    <row r="12" ht="50.25" customHeight="1">
      <c r="A12" s="25" t="s">
        <v>161</v>
      </c>
      <c r="B12" s="26" t="s">
        <v>162</v>
      </c>
      <c r="C12" s="86"/>
      <c r="D12" s="86"/>
      <c r="E12" s="86"/>
      <c r="F12" s="61"/>
      <c r="G12" s="61"/>
      <c r="H12" s="61"/>
      <c r="I12" s="3"/>
      <c r="J12" s="3"/>
      <c r="K12" s="3"/>
      <c r="L12" s="3"/>
      <c r="M12" s="3"/>
      <c r="N12" s="3"/>
      <c r="O12" s="3"/>
      <c r="P12" s="3"/>
      <c r="Q12" s="3"/>
      <c r="R12" s="3"/>
      <c r="S12" s="3"/>
      <c r="T12" s="3"/>
      <c r="U12" s="3"/>
      <c r="V12" s="3"/>
      <c r="W12" s="3"/>
      <c r="X12" s="3"/>
      <c r="Y12" s="3"/>
      <c r="Z12" s="3"/>
    </row>
    <row r="13" ht="50.25" customHeight="1">
      <c r="A13" s="29"/>
      <c r="B13" s="26" t="s">
        <v>163</v>
      </c>
      <c r="C13" s="86"/>
      <c r="D13" s="86"/>
      <c r="E13" s="86"/>
      <c r="F13" s="29"/>
      <c r="G13" s="29"/>
      <c r="H13" s="29"/>
      <c r="I13" s="3"/>
      <c r="J13" s="3"/>
      <c r="K13" s="3"/>
      <c r="L13" s="3"/>
      <c r="M13" s="3"/>
      <c r="N13" s="3"/>
      <c r="O13" s="3"/>
      <c r="P13" s="3"/>
      <c r="Q13" s="3"/>
      <c r="R13" s="3"/>
      <c r="S13" s="3"/>
      <c r="T13" s="3"/>
      <c r="U13" s="3"/>
      <c r="V13" s="3"/>
      <c r="W13" s="3"/>
      <c r="X13" s="3"/>
      <c r="Y13" s="3"/>
      <c r="Z13" s="3"/>
    </row>
    <row r="14" ht="50.25" customHeight="1">
      <c r="A14" s="22"/>
      <c r="B14" s="26" t="s">
        <v>164</v>
      </c>
      <c r="C14" s="86"/>
      <c r="D14" s="86"/>
      <c r="E14" s="86"/>
      <c r="F14" s="22"/>
      <c r="G14" s="22"/>
      <c r="H14" s="22"/>
      <c r="I14" s="3"/>
      <c r="J14" s="3"/>
      <c r="K14" s="3"/>
      <c r="L14" s="3"/>
      <c r="M14" s="3"/>
      <c r="N14" s="3"/>
      <c r="O14" s="3"/>
      <c r="P14" s="3"/>
      <c r="Q14" s="3"/>
      <c r="R14" s="3"/>
      <c r="S14" s="3"/>
      <c r="T14" s="3"/>
      <c r="U14" s="3"/>
      <c r="V14" s="3"/>
      <c r="W14" s="3"/>
      <c r="X14" s="3"/>
      <c r="Y14" s="3"/>
      <c r="Z14" s="3"/>
    </row>
    <row r="15" ht="50.25" customHeight="1">
      <c r="A15" s="25" t="s">
        <v>165</v>
      </c>
      <c r="B15" s="26" t="s">
        <v>166</v>
      </c>
      <c r="C15" s="86"/>
      <c r="D15" s="86"/>
      <c r="E15" s="86"/>
      <c r="F15" s="61"/>
      <c r="G15" s="61"/>
      <c r="H15" s="61"/>
      <c r="I15" s="3"/>
      <c r="J15" s="3"/>
      <c r="K15" s="3"/>
      <c r="L15" s="3"/>
      <c r="M15" s="3"/>
      <c r="N15" s="3"/>
      <c r="O15" s="3"/>
      <c r="P15" s="3"/>
      <c r="Q15" s="3"/>
      <c r="R15" s="3"/>
      <c r="S15" s="3"/>
      <c r="T15" s="3"/>
      <c r="U15" s="3"/>
      <c r="V15" s="3"/>
      <c r="W15" s="3"/>
      <c r="X15" s="3"/>
      <c r="Y15" s="3"/>
      <c r="Z15" s="3"/>
    </row>
    <row r="16" ht="50.25" customHeight="1">
      <c r="A16" s="22"/>
      <c r="B16" s="26" t="s">
        <v>167</v>
      </c>
      <c r="C16" s="86"/>
      <c r="D16" s="86"/>
      <c r="E16" s="86"/>
      <c r="F16" s="22"/>
      <c r="G16" s="22"/>
      <c r="H16" s="22"/>
      <c r="I16" s="3"/>
      <c r="J16" s="3"/>
      <c r="K16" s="3"/>
      <c r="L16" s="3"/>
      <c r="M16" s="3"/>
      <c r="N16" s="3"/>
      <c r="O16" s="3"/>
      <c r="P16" s="3"/>
      <c r="Q16" s="3"/>
      <c r="R16" s="3"/>
      <c r="S16" s="3"/>
      <c r="T16" s="3"/>
      <c r="U16" s="3"/>
      <c r="V16" s="3"/>
      <c r="W16" s="3"/>
      <c r="X16" s="3"/>
      <c r="Y16" s="3"/>
      <c r="Z16" s="3"/>
    </row>
    <row r="17" ht="50.25" customHeight="1">
      <c r="A17" s="25" t="s">
        <v>168</v>
      </c>
      <c r="B17" s="26" t="s">
        <v>169</v>
      </c>
      <c r="C17" s="86"/>
      <c r="D17" s="86"/>
      <c r="E17" s="86"/>
      <c r="F17" s="61"/>
      <c r="G17" s="61"/>
      <c r="H17" s="61"/>
      <c r="I17" s="3"/>
      <c r="J17" s="3"/>
      <c r="K17" s="3"/>
      <c r="L17" s="3"/>
      <c r="M17" s="3"/>
      <c r="N17" s="3"/>
      <c r="O17" s="3"/>
      <c r="P17" s="3"/>
      <c r="Q17" s="3"/>
      <c r="R17" s="3"/>
      <c r="S17" s="3"/>
      <c r="T17" s="3"/>
      <c r="U17" s="3"/>
      <c r="V17" s="3"/>
      <c r="W17" s="3"/>
      <c r="X17" s="3"/>
      <c r="Y17" s="3"/>
      <c r="Z17" s="3"/>
    </row>
    <row r="18" ht="50.25" customHeight="1">
      <c r="A18" s="22"/>
      <c r="B18" s="26" t="s">
        <v>170</v>
      </c>
      <c r="C18" s="86"/>
      <c r="D18" s="86"/>
      <c r="E18" s="86"/>
      <c r="F18" s="22"/>
      <c r="G18" s="22"/>
      <c r="H18" s="22"/>
      <c r="I18" s="3"/>
      <c r="J18" s="3"/>
      <c r="K18" s="3"/>
      <c r="L18" s="3"/>
      <c r="M18" s="3"/>
      <c r="N18" s="3"/>
      <c r="O18" s="3"/>
      <c r="P18" s="3"/>
      <c r="Q18" s="3"/>
      <c r="R18" s="3"/>
      <c r="S18" s="3"/>
      <c r="T18" s="3"/>
      <c r="U18" s="3"/>
      <c r="V18" s="3"/>
      <c r="W18" s="3"/>
      <c r="X18" s="3"/>
      <c r="Y18" s="3"/>
      <c r="Z18" s="3"/>
    </row>
    <row r="19" ht="25.5" customHeight="1">
      <c r="A19" s="12"/>
      <c r="B19" s="12"/>
      <c r="C19" s="12"/>
      <c r="D19" s="12"/>
      <c r="E19" s="30" t="s">
        <v>33</v>
      </c>
      <c r="F19" s="31"/>
      <c r="G19" s="5" t="s">
        <v>34</v>
      </c>
      <c r="H19" s="32" t="str">
        <f>IF(AND(OR(F12="X", H12="X"), OR(F15="X",H15= "X"), OR(F17="X",H17= "X")), "X", "")</f>
        <v/>
      </c>
      <c r="I19" s="3"/>
      <c r="J19" s="3"/>
      <c r="K19" s="3"/>
      <c r="L19" s="3"/>
      <c r="M19" s="3"/>
      <c r="N19" s="3"/>
      <c r="O19" s="3"/>
      <c r="P19" s="3"/>
      <c r="Q19" s="3"/>
      <c r="R19" s="3"/>
      <c r="S19" s="3"/>
      <c r="T19" s="3"/>
      <c r="U19" s="3"/>
      <c r="V19" s="3"/>
      <c r="W19" s="3"/>
      <c r="X19" s="3"/>
      <c r="Y19" s="3"/>
      <c r="Z19" s="3"/>
    </row>
    <row r="20" ht="25.5" customHeight="1">
      <c r="A20" s="12"/>
      <c r="B20" s="12"/>
      <c r="C20" s="12"/>
      <c r="D20" s="12"/>
      <c r="E20" s="33"/>
      <c r="F20" s="34"/>
      <c r="G20" s="5" t="s">
        <v>35</v>
      </c>
      <c r="H20" s="32" t="str">
        <f>IF(OR(G12="X",G15= "X",G17= "X"), "X", "")</f>
        <v/>
      </c>
      <c r="I20" s="3"/>
      <c r="J20" s="3"/>
      <c r="K20" s="3"/>
      <c r="L20" s="3"/>
      <c r="M20" s="3"/>
      <c r="N20" s="3"/>
      <c r="O20" s="3"/>
      <c r="P20" s="3"/>
      <c r="Q20" s="3"/>
      <c r="R20" s="3"/>
      <c r="S20" s="3"/>
      <c r="T20" s="3"/>
      <c r="U20" s="3"/>
      <c r="V20" s="3"/>
      <c r="W20" s="3"/>
      <c r="X20" s="3"/>
      <c r="Y20" s="3"/>
      <c r="Z20" s="3"/>
    </row>
    <row r="21" ht="34.5" customHeight="1">
      <c r="A21" s="12"/>
      <c r="B21" s="12"/>
      <c r="C21" s="12"/>
      <c r="D21" s="12"/>
      <c r="E21" s="12"/>
      <c r="F21" s="15"/>
      <c r="G21" s="15"/>
      <c r="H21" s="12"/>
      <c r="I21" s="3"/>
      <c r="J21" s="3"/>
      <c r="K21" s="3"/>
      <c r="L21" s="3"/>
      <c r="M21" s="3"/>
      <c r="N21" s="3"/>
      <c r="O21" s="3"/>
      <c r="P21" s="3"/>
      <c r="Q21" s="3"/>
      <c r="R21" s="3"/>
      <c r="S21" s="3"/>
      <c r="T21" s="3"/>
      <c r="U21" s="3"/>
      <c r="V21" s="3"/>
      <c r="W21" s="3"/>
      <c r="X21" s="3"/>
      <c r="Y21" s="3"/>
      <c r="Z21" s="3"/>
    </row>
    <row r="22" ht="34.5" customHeight="1">
      <c r="A22" s="87" t="s">
        <v>36</v>
      </c>
      <c r="B22" s="12"/>
      <c r="C22" s="12"/>
      <c r="D22" s="12"/>
      <c r="E22" s="12"/>
      <c r="F22" s="15"/>
      <c r="G22" s="15"/>
      <c r="H22" s="12"/>
      <c r="I22" s="3"/>
      <c r="J22" s="3"/>
      <c r="K22" s="3"/>
      <c r="L22" s="3"/>
      <c r="M22" s="3"/>
      <c r="N22" s="3"/>
      <c r="O22" s="3"/>
      <c r="P22" s="3"/>
      <c r="Q22" s="3"/>
      <c r="R22" s="3"/>
      <c r="S22" s="3"/>
      <c r="T22" s="3"/>
      <c r="U22" s="3"/>
      <c r="V22" s="3"/>
      <c r="W22" s="3"/>
      <c r="X22" s="3"/>
      <c r="Y22" s="3"/>
      <c r="Z22" s="3"/>
    </row>
    <row r="23" ht="34.5" customHeight="1">
      <c r="A23" s="36"/>
      <c r="B23" s="37"/>
      <c r="C23" s="37"/>
      <c r="D23" s="37"/>
      <c r="E23" s="37"/>
      <c r="F23" s="37"/>
      <c r="G23" s="37"/>
      <c r="H23" s="31"/>
      <c r="I23" s="3"/>
      <c r="J23" s="3"/>
      <c r="K23" s="3"/>
      <c r="L23" s="3"/>
      <c r="M23" s="3"/>
      <c r="N23" s="3"/>
      <c r="O23" s="3"/>
      <c r="P23" s="3"/>
      <c r="Q23" s="3"/>
      <c r="R23" s="3"/>
      <c r="S23" s="3"/>
      <c r="T23" s="3"/>
      <c r="U23" s="3"/>
      <c r="V23" s="3"/>
      <c r="W23" s="3"/>
      <c r="X23" s="3"/>
      <c r="Y23" s="3"/>
      <c r="Z23" s="3"/>
    </row>
    <row r="24" ht="34.5" customHeight="1">
      <c r="A24" s="38"/>
      <c r="H24" s="39"/>
      <c r="I24" s="3"/>
      <c r="J24" s="3"/>
      <c r="K24" s="3"/>
      <c r="L24" s="3"/>
      <c r="M24" s="3"/>
      <c r="N24" s="3"/>
      <c r="O24" s="3"/>
      <c r="P24" s="3"/>
      <c r="Q24" s="3"/>
      <c r="R24" s="3"/>
      <c r="S24" s="3"/>
      <c r="T24" s="3"/>
      <c r="U24" s="3"/>
      <c r="V24" s="3"/>
      <c r="W24" s="3"/>
      <c r="X24" s="3"/>
      <c r="Y24" s="3"/>
      <c r="Z24" s="3"/>
    </row>
    <row r="25" ht="34.5" customHeight="1">
      <c r="A25" s="33"/>
      <c r="B25" s="40"/>
      <c r="C25" s="40"/>
      <c r="D25" s="40"/>
      <c r="E25" s="40"/>
      <c r="F25" s="40"/>
      <c r="G25" s="40"/>
      <c r="H25" s="34"/>
      <c r="I25" s="3"/>
      <c r="J25" s="3"/>
      <c r="K25" s="3"/>
      <c r="L25" s="3"/>
      <c r="M25" s="3"/>
      <c r="N25" s="3"/>
      <c r="O25" s="3"/>
      <c r="P25" s="3"/>
      <c r="Q25" s="3"/>
      <c r="R25" s="3"/>
      <c r="S25" s="3"/>
      <c r="T25" s="3"/>
      <c r="U25" s="3"/>
      <c r="V25" s="3"/>
      <c r="W25" s="3"/>
      <c r="X25" s="3"/>
      <c r="Y25" s="3"/>
      <c r="Z25" s="3"/>
    </row>
    <row r="26" ht="34.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4.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4.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4.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4.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4.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4.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4.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4.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4.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4.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4.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4.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4.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4.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4.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4.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4.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4.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4.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4.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4.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4.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4.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4.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4.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4.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4.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4.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4.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4.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4.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4.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4.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4.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4.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4.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4.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4.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4.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4.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4.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4.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4.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4.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4.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4.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4.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4.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4.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4.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4.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4.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4.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4.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4.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4.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4.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4.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4.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4.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4.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4.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4.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4.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4.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4.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4.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4.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4.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4.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4.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4.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4.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4.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4.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4.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4.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4.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4.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4.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4.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4.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4.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4.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4.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4.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4.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4.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4.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4.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4.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4.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4.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4.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4.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4.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4.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4.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4.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4.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4.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4.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4.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4.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4.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4.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4.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4.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4.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4.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4.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4.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4.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4.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4.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4.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4.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4.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4.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4.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4.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4.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4.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4.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4.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4.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4.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4.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4.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4.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4.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4.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4.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4.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4.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4.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4.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4.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4.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4.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4.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4.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4.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4.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4.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4.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4.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4.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4.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4.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4.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4.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4.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4.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4.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4.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4.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4.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4.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4.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4.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4.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4.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4.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4.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4.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4.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4.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4.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4.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4.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4.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4.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4.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4.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4.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4.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4.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4.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4.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4.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4.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4.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4.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4.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4.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4.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4.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4.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4.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4.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4.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4.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4.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4.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4.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4.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4.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4.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4.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4.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4.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4.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4.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4.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4.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4.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4.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4.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4.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4.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4.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4.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4.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4.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4.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4.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4.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4.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4.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4.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4.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4.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4.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4.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4.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4.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4.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4.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4.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4.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4.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4.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4.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4.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4.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4.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4.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4.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4.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4.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4.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4.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4.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4.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4.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4.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4.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4.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4.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4.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4.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4.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4.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4.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4.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4.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4.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4.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4.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4.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4.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4.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4.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4.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4.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4.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4.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4.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4.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4.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4.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4.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4.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4.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4.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4.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4.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4.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4.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4.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4.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4.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4.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4.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4.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4.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4.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4.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4.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4.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4.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4.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4.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4.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4.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4.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4.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4.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4.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4.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4.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4.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4.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4.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4.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4.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4.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4.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4.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4.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4.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4.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4.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4.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4.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4.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4.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4.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4.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4.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4.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4.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4.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4.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4.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4.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4.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4.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4.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4.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4.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4.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4.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4.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4.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4.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4.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4.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4.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4.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4.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4.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4.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4.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4.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4.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4.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4.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4.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4.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4.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4.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4.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4.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4.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4.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4.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4.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4.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4.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4.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4.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4.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4.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4.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4.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4.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4.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4.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4.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4.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4.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4.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4.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4.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4.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4.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4.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4.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4.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4.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4.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4.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4.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4.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4.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4.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4.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4.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4.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4.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4.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4.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4.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4.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4.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4.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4.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4.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4.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4.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4.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4.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4.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4.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4.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4.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4.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4.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4.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4.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4.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4.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4.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4.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4.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4.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4.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4.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4.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4.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4.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4.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4.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4.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4.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4.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4.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4.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4.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4.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4.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4.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4.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4.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4.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4.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4.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4.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4.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4.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4.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4.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4.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4.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4.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4.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4.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4.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4.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4.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4.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4.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4.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4.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4.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4.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4.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4.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4.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4.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4.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4.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4.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4.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4.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4.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4.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4.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4.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4.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4.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4.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4.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4.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4.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4.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4.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4.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4.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4.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4.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4.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4.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4.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4.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4.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4.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4.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4.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4.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4.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4.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4.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4.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4.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4.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4.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4.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4.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4.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4.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4.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4.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4.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4.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4.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4.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4.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4.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4.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4.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4.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4.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4.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4.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4.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4.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4.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4.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4.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4.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4.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4.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4.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4.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4.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4.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4.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4.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4.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4.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4.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4.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4.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4.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4.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4.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4.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4.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4.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4.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4.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4.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4.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4.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4.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4.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4.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4.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4.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4.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4.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4.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4.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4.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4.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4.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4.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4.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4.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4.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4.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4.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4.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4.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4.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4.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4.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4.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4.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4.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4.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4.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4.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4.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4.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4.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4.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4.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4.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4.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4.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4.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4.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4.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4.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4.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4.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4.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4.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4.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4.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4.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4.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4.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4.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4.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4.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4.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4.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4.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4.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4.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4.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4.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4.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4.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4.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4.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4.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4.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4.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4.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4.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4.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4.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4.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4.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4.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4.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4.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4.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4.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4.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4.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4.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4.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4.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4.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4.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4.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4.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4.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4.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4.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4.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4.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4.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4.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4.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4.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4.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4.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4.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4.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4.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4.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4.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4.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4.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4.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4.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4.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4.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4.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4.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4.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4.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4.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4.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4.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4.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4.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4.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4.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4.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4.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4.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4.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4.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4.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4.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4.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4.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4.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4.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4.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4.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4.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4.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4.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4.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4.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4.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4.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4.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4.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4.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4.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4.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4.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4.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4.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4.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4.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4.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4.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4.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4.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4.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4.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4.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4.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4.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4.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4.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4.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4.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4.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4.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4.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4.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4.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4.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4.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4.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4.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4.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4.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4.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4.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4.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4.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4.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4.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4.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4.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4.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4.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4.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4.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4.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4.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4.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4.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4.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4.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4.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4.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4.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4.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4.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4.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4.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4.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4.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4.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4.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4.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4.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4.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4.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4.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4.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4.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4.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4.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4.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4.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4.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4.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4.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4.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4.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4.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4.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4.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4.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4.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4.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4.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4.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4.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4.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4.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4.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4.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4.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4.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4.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4.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4.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4.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4.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4.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4.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4.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4.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4.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4.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4.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4.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4.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4.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4.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4.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4.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4.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4.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4.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4.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4.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4.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4.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4.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4.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4.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4.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4.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4.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4.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4.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4.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4.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4.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4.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4.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4.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4.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4.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4.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4.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4.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4.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4.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4.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4.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4.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4.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4.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4.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4.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4.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4.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4.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4.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4.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4.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4.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4.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4.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4.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4.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4.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4.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4.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4.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4.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4.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4.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4.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4.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4.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4.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4.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4.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4.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4.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4.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4.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4.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4.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4.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4.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4.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4.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4.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4.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4.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4.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4.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4.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4.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4.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4.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4.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4.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4.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4.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4.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4.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4.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4.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4.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4.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4.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4.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4.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4.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4.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4.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4.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4.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4.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4.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4.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4.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4.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4.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4.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4.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4.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4.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4.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4.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4.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4.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4.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4.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4.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4.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4.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4.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4.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4.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4.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4.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4.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4.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4.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4.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4.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4.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4.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4.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4.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4.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4.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4.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4.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4.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4.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4.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4.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4.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4.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4.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4.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4.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4.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4.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4.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4.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4.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4.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4.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4.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4.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4.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4.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4.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4.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4.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4.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4.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4.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4.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4.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4.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4.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4.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4.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4.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4.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4.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4.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4.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4.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4.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4.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4.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4.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0">
    <mergeCell ref="A12:A14"/>
    <mergeCell ref="A15:A16"/>
    <mergeCell ref="A17:A18"/>
    <mergeCell ref="A1:H1"/>
    <mergeCell ref="A2:H2"/>
    <mergeCell ref="A10:A11"/>
    <mergeCell ref="B10:B11"/>
    <mergeCell ref="C10:E10"/>
    <mergeCell ref="F10:H10"/>
    <mergeCell ref="H12:H14"/>
    <mergeCell ref="F17:F18"/>
    <mergeCell ref="E19:F20"/>
    <mergeCell ref="A23:H25"/>
    <mergeCell ref="F12:F14"/>
    <mergeCell ref="G12:G14"/>
    <mergeCell ref="F15:F16"/>
    <mergeCell ref="G15:G16"/>
    <mergeCell ref="H15:H16"/>
    <mergeCell ref="G17:G18"/>
    <mergeCell ref="H17:H18"/>
  </mergeCells>
  <conditionalFormatting sqref="A23:H25 B4 B7 C12:H12 C13:E14 C15:H15 C16:E16 C17:H17 C18:E18 H19:H20">
    <cfRule type="containsBlanks" dxfId="0" priority="1">
      <formula>LEN(TRIM(A23))=0</formula>
    </cfRule>
  </conditionalFormatting>
  <conditionalFormatting sqref="B5">
    <cfRule type="containsBlanks" dxfId="3" priority="2">
      <formula>LEN(TRIM(B5))=0</formula>
    </cfRule>
  </conditionalFormatting>
  <dataValidations>
    <dataValidation type="list" allowBlank="1" showErrorMessage="1" sqref="C12:H12 C13:E14 C15:H15 C16:E16 C17:H17 C18:E18">
      <formula1>"X"</formula1>
    </dataValidation>
    <dataValidation type="custom" allowBlank="1" showInputMessage="1" showErrorMessage="1" prompt="Erreur de saisie - Le commentaire est obligatoire. Veuillez remplir cette section" sqref="A23">
      <formula1>GT(LEN(A23),(2))</formula1>
    </dataValidation>
  </dataValidations>
  <printOptions/>
  <pageMargins bottom="0.748031496062992" footer="0.0" header="0.0" left="0.708661417322835" right="0.708661417322835" top="0.748031496062992"/>
  <pageSetup paperSize="8" scale="60" orientation="landscape"/>
  <headerFooter>
    <oddHeader>&amp;L000000</oddHead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43"/>
    <col customWidth="1" min="2" max="2" width="37.86"/>
    <col customWidth="1" min="3" max="3" width="37.43"/>
    <col customWidth="1" min="4" max="4" width="33.43"/>
    <col customWidth="1" min="5" max="5" width="25.43"/>
    <col customWidth="1" min="6" max="26" width="21.43"/>
  </cols>
  <sheetData>
    <row r="1" ht="84.0" customHeight="1">
      <c r="A1" s="6" t="s">
        <v>121</v>
      </c>
      <c r="B1" s="7"/>
      <c r="C1" s="7"/>
      <c r="D1" s="7"/>
      <c r="E1" s="7"/>
      <c r="F1" s="7"/>
      <c r="G1" s="7"/>
      <c r="H1" s="7"/>
      <c r="I1" s="8"/>
      <c r="J1" s="9"/>
      <c r="K1" s="9"/>
      <c r="L1" s="9"/>
      <c r="M1" s="3"/>
      <c r="N1" s="3"/>
      <c r="O1" s="3"/>
      <c r="P1" s="3"/>
      <c r="Q1" s="3"/>
      <c r="R1" s="3"/>
      <c r="S1" s="3"/>
      <c r="T1" s="3"/>
      <c r="U1" s="3"/>
      <c r="V1" s="3"/>
      <c r="W1" s="3"/>
      <c r="X1" s="3"/>
      <c r="Y1" s="3"/>
      <c r="Z1" s="3"/>
    </row>
    <row r="2" ht="38.25" customHeight="1">
      <c r="A2" s="43" t="s">
        <v>171</v>
      </c>
      <c r="B2" s="7"/>
      <c r="C2" s="7"/>
      <c r="D2" s="7"/>
      <c r="E2" s="7"/>
      <c r="F2" s="7"/>
      <c r="G2" s="7"/>
      <c r="H2" s="7"/>
      <c r="I2" s="8"/>
      <c r="J2" s="11"/>
      <c r="K2" s="11"/>
      <c r="L2" s="11"/>
      <c r="M2" s="3"/>
      <c r="N2" s="3"/>
      <c r="O2" s="3"/>
      <c r="P2" s="3"/>
      <c r="Q2" s="3"/>
      <c r="R2" s="3"/>
      <c r="S2" s="3"/>
      <c r="T2" s="3"/>
      <c r="U2" s="3"/>
      <c r="V2" s="3"/>
      <c r="W2" s="3"/>
      <c r="X2" s="3"/>
      <c r="Y2" s="3"/>
      <c r="Z2" s="3"/>
    </row>
    <row r="3" ht="41.25" customHeight="1">
      <c r="A3" s="12"/>
      <c r="B3" s="12"/>
      <c r="C3" s="12"/>
      <c r="D3" s="12"/>
      <c r="E3" s="12"/>
      <c r="F3" s="12"/>
      <c r="G3" s="12"/>
      <c r="H3" s="12"/>
      <c r="I3" s="12"/>
      <c r="J3" s="3"/>
      <c r="K3" s="3"/>
      <c r="L3" s="3"/>
      <c r="M3" s="3"/>
      <c r="N3" s="3"/>
      <c r="O3" s="3"/>
      <c r="P3" s="3"/>
      <c r="Q3" s="3"/>
      <c r="R3" s="3"/>
      <c r="S3" s="3"/>
      <c r="T3" s="3"/>
      <c r="U3" s="3"/>
      <c r="V3" s="3"/>
      <c r="W3" s="3"/>
      <c r="X3" s="3"/>
      <c r="Y3" s="3"/>
      <c r="Z3" s="3"/>
    </row>
    <row r="4" ht="41.25" customHeight="1">
      <c r="A4" s="13" t="s">
        <v>5</v>
      </c>
      <c r="B4" s="71" t="str">
        <f>IF(NOMPRENOM="", "", NOMPRENOM)</f>
        <v/>
      </c>
      <c r="C4" s="12"/>
      <c r="D4" s="15"/>
      <c r="E4" s="12"/>
      <c r="F4" s="12"/>
      <c r="G4" s="12"/>
      <c r="H4" s="12"/>
      <c r="I4" s="12"/>
      <c r="J4" s="3"/>
      <c r="K4" s="3"/>
      <c r="L4" s="3"/>
      <c r="M4" s="3"/>
      <c r="N4" s="3"/>
      <c r="O4" s="3"/>
      <c r="P4" s="3"/>
      <c r="Q4" s="3"/>
      <c r="R4" s="3"/>
      <c r="S4" s="3"/>
      <c r="T4" s="3"/>
      <c r="U4" s="3"/>
      <c r="V4" s="3"/>
      <c r="W4" s="3"/>
      <c r="X4" s="3"/>
      <c r="Y4" s="3"/>
      <c r="Z4" s="3"/>
    </row>
    <row r="5" ht="41.25" customHeight="1">
      <c r="A5" s="3"/>
      <c r="B5" s="3"/>
      <c r="C5" s="3"/>
      <c r="D5" s="3"/>
      <c r="E5" s="3"/>
      <c r="F5" s="3"/>
      <c r="G5" s="3"/>
      <c r="H5" s="3"/>
      <c r="I5" s="3"/>
      <c r="J5" s="3"/>
      <c r="K5" s="3"/>
      <c r="L5" s="3"/>
      <c r="M5" s="3"/>
      <c r="N5" s="3"/>
      <c r="O5" s="3"/>
      <c r="P5" s="3"/>
      <c r="Q5" s="3"/>
      <c r="R5" s="3"/>
      <c r="S5" s="3"/>
      <c r="T5" s="3"/>
      <c r="U5" s="3"/>
      <c r="V5" s="3"/>
      <c r="W5" s="3"/>
      <c r="X5" s="3"/>
      <c r="Y5" s="3"/>
      <c r="Z5" s="3"/>
    </row>
    <row r="6" ht="41.25" customHeight="1">
      <c r="A6" s="44"/>
      <c r="B6" s="44"/>
      <c r="C6" s="44"/>
      <c r="D6" s="44"/>
      <c r="E6" s="3"/>
      <c r="F6" s="3"/>
      <c r="G6" s="3"/>
      <c r="H6" s="3"/>
      <c r="I6" s="3"/>
      <c r="J6" s="3"/>
      <c r="K6" s="3"/>
      <c r="L6" s="3"/>
      <c r="M6" s="3"/>
      <c r="N6" s="3"/>
      <c r="O6" s="3"/>
      <c r="P6" s="3"/>
      <c r="Q6" s="3"/>
      <c r="R6" s="3"/>
      <c r="S6" s="3"/>
      <c r="T6" s="3"/>
      <c r="U6" s="3"/>
      <c r="V6" s="3"/>
      <c r="W6" s="3"/>
      <c r="X6" s="3"/>
      <c r="Y6" s="3"/>
      <c r="Z6" s="3"/>
    </row>
    <row r="7" ht="41.25" customHeight="1">
      <c r="A7" s="3"/>
      <c r="B7" s="3"/>
      <c r="C7" s="72" t="s">
        <v>52</v>
      </c>
      <c r="D7" s="72" t="s">
        <v>53</v>
      </c>
      <c r="E7" s="3"/>
      <c r="F7" s="3"/>
      <c r="G7" s="3"/>
      <c r="H7" s="3"/>
      <c r="I7" s="3"/>
      <c r="J7" s="3"/>
      <c r="K7" s="3"/>
      <c r="L7" s="3"/>
      <c r="M7" s="3"/>
      <c r="N7" s="3"/>
      <c r="O7" s="3"/>
      <c r="P7" s="3"/>
      <c r="Q7" s="3"/>
      <c r="R7" s="3"/>
      <c r="S7" s="3"/>
      <c r="T7" s="3"/>
      <c r="U7" s="3"/>
      <c r="V7" s="3"/>
      <c r="W7" s="3"/>
      <c r="X7" s="3"/>
      <c r="Y7" s="3"/>
      <c r="Z7" s="3"/>
    </row>
    <row r="8" ht="41.25" customHeight="1">
      <c r="A8" s="46" t="s">
        <v>171</v>
      </c>
      <c r="B8" s="74" t="s">
        <v>172</v>
      </c>
      <c r="C8" s="45" t="str">
        <f>ME5.1_OUI</f>
        <v/>
      </c>
      <c r="D8" s="45" t="str">
        <f>ME5.1_NON</f>
        <v/>
      </c>
      <c r="E8" s="3"/>
      <c r="F8" s="3"/>
      <c r="G8" s="3"/>
      <c r="H8" s="3"/>
      <c r="I8" s="3"/>
      <c r="J8" s="3"/>
      <c r="K8" s="3"/>
      <c r="L8" s="3"/>
      <c r="M8" s="3"/>
      <c r="N8" s="3"/>
      <c r="O8" s="3"/>
      <c r="P8" s="3"/>
      <c r="Q8" s="3"/>
      <c r="R8" s="3"/>
      <c r="S8" s="3"/>
      <c r="T8" s="3"/>
      <c r="U8" s="3"/>
      <c r="V8" s="3"/>
      <c r="W8" s="3"/>
      <c r="X8" s="3"/>
      <c r="Y8" s="3"/>
      <c r="Z8" s="3"/>
    </row>
    <row r="9" ht="41.25" customHeight="1">
      <c r="A9" s="22"/>
      <c r="B9" s="74" t="s">
        <v>173</v>
      </c>
      <c r="C9" s="45" t="str">
        <f>ME5.2_OUI</f>
        <v/>
      </c>
      <c r="D9" s="45" t="str">
        <f>ME5.2_NON</f>
        <v/>
      </c>
      <c r="E9" s="3"/>
      <c r="F9" s="3"/>
      <c r="G9" s="3"/>
      <c r="H9" s="3"/>
      <c r="I9" s="3"/>
      <c r="J9" s="3"/>
      <c r="K9" s="3"/>
      <c r="L9" s="3"/>
      <c r="M9" s="3"/>
      <c r="N9" s="3"/>
      <c r="O9" s="3"/>
      <c r="P9" s="3"/>
      <c r="Q9" s="3"/>
      <c r="R9" s="3"/>
      <c r="S9" s="3"/>
      <c r="T9" s="3"/>
      <c r="U9" s="3"/>
      <c r="V9" s="3"/>
      <c r="W9" s="3"/>
      <c r="X9" s="3"/>
      <c r="Y9" s="3"/>
      <c r="Z9" s="3"/>
    </row>
    <row r="10" ht="41.25" customHeight="1">
      <c r="A10" s="12"/>
      <c r="B10" s="49"/>
      <c r="C10" s="17"/>
      <c r="D10" s="3"/>
      <c r="E10" s="3"/>
      <c r="F10" s="3"/>
      <c r="G10" s="3"/>
      <c r="H10" s="3"/>
      <c r="I10" s="3"/>
      <c r="J10" s="3"/>
      <c r="K10" s="3"/>
      <c r="L10" s="3"/>
      <c r="M10" s="3"/>
      <c r="N10" s="3"/>
      <c r="O10" s="3"/>
      <c r="P10" s="3"/>
      <c r="Q10" s="3"/>
      <c r="R10" s="3"/>
      <c r="S10" s="3"/>
      <c r="T10" s="3"/>
      <c r="U10" s="3"/>
      <c r="V10" s="3"/>
      <c r="W10" s="3"/>
      <c r="X10" s="3"/>
      <c r="Y10" s="3"/>
      <c r="Z10" s="3"/>
    </row>
    <row r="11" ht="41.25" customHeight="1">
      <c r="A11" s="55" t="s">
        <v>57</v>
      </c>
      <c r="B11" s="12"/>
      <c r="C11" s="12"/>
      <c r="D11" s="12"/>
      <c r="E11" s="12"/>
      <c r="F11" s="12"/>
      <c r="G11" s="12"/>
      <c r="H11" s="12"/>
      <c r="I11" s="12"/>
      <c r="J11" s="3"/>
      <c r="K11" s="3"/>
      <c r="L11" s="3"/>
      <c r="M11" s="3"/>
      <c r="N11" s="3"/>
      <c r="O11" s="3"/>
      <c r="P11" s="3"/>
      <c r="Q11" s="3"/>
      <c r="R11" s="3"/>
      <c r="S11" s="3"/>
      <c r="T11" s="3"/>
      <c r="U11" s="3"/>
      <c r="V11" s="3"/>
      <c r="W11" s="3"/>
      <c r="X11" s="3"/>
      <c r="Y11" s="3"/>
      <c r="Z11" s="3"/>
    </row>
    <row r="12" ht="41.25" customHeight="1">
      <c r="A12" s="51"/>
      <c r="B12" s="52"/>
      <c r="C12" s="52"/>
      <c r="D12" s="52"/>
      <c r="E12" s="52"/>
      <c r="F12" s="52"/>
      <c r="G12" s="52"/>
      <c r="H12" s="52"/>
      <c r="I12" s="53"/>
      <c r="J12" s="3"/>
      <c r="K12" s="3"/>
      <c r="L12" s="3"/>
      <c r="M12" s="3"/>
      <c r="N12" s="3"/>
      <c r="O12" s="3"/>
      <c r="P12" s="3"/>
      <c r="Q12" s="3"/>
      <c r="R12" s="3"/>
      <c r="S12" s="3"/>
      <c r="T12" s="3"/>
      <c r="U12" s="3"/>
      <c r="V12" s="3"/>
      <c r="W12" s="3"/>
      <c r="X12" s="3"/>
      <c r="Y12" s="3"/>
      <c r="Z12" s="3"/>
    </row>
    <row r="13" ht="41.25" customHeight="1">
      <c r="A13" s="38"/>
      <c r="I13" s="39"/>
      <c r="J13" s="3"/>
      <c r="K13" s="3"/>
      <c r="L13" s="3"/>
      <c r="M13" s="3"/>
      <c r="N13" s="3"/>
      <c r="O13" s="3"/>
      <c r="P13" s="3"/>
      <c r="Q13" s="3"/>
      <c r="R13" s="3"/>
      <c r="S13" s="3"/>
      <c r="T13" s="3"/>
      <c r="U13" s="3"/>
      <c r="V13" s="3"/>
      <c r="W13" s="3"/>
      <c r="X13" s="3"/>
      <c r="Y13" s="3"/>
      <c r="Z13" s="3"/>
    </row>
    <row r="14" ht="41.25" customHeight="1">
      <c r="A14" s="38"/>
      <c r="I14" s="39"/>
      <c r="J14" s="3"/>
      <c r="K14" s="3"/>
      <c r="L14" s="3"/>
      <c r="M14" s="3"/>
      <c r="N14" s="3"/>
      <c r="O14" s="3"/>
      <c r="P14" s="3"/>
      <c r="Q14" s="3"/>
      <c r="R14" s="3"/>
      <c r="S14" s="3"/>
      <c r="T14" s="3"/>
      <c r="U14" s="3"/>
      <c r="V14" s="3"/>
      <c r="W14" s="3"/>
      <c r="X14" s="3"/>
      <c r="Y14" s="3"/>
      <c r="Z14" s="3"/>
    </row>
    <row r="15" ht="41.25" customHeight="1">
      <c r="A15" s="33"/>
      <c r="B15" s="40"/>
      <c r="C15" s="40"/>
      <c r="D15" s="40"/>
      <c r="E15" s="40"/>
      <c r="F15" s="40"/>
      <c r="G15" s="40"/>
      <c r="H15" s="40"/>
      <c r="I15" s="34"/>
      <c r="J15" s="3"/>
      <c r="K15" s="3"/>
      <c r="L15" s="3"/>
      <c r="M15" s="3"/>
      <c r="N15" s="3"/>
      <c r="O15" s="3"/>
      <c r="P15" s="3"/>
      <c r="Q15" s="3"/>
      <c r="R15" s="3"/>
      <c r="S15" s="3"/>
      <c r="T15" s="3"/>
      <c r="U15" s="3"/>
      <c r="V15" s="3"/>
      <c r="W15" s="3"/>
      <c r="X15" s="3"/>
      <c r="Y15" s="3"/>
      <c r="Z15" s="3"/>
    </row>
    <row r="16" ht="41.25" customHeight="1">
      <c r="A16" s="12"/>
      <c r="B16" s="49"/>
      <c r="C16" s="17"/>
      <c r="D16" s="3"/>
      <c r="E16" s="3"/>
      <c r="F16" s="3"/>
      <c r="G16" s="3"/>
      <c r="H16" s="3"/>
      <c r="I16" s="3"/>
      <c r="J16" s="3"/>
      <c r="K16" s="3"/>
      <c r="L16" s="3"/>
      <c r="M16" s="3"/>
      <c r="N16" s="3"/>
      <c r="O16" s="3"/>
      <c r="P16" s="3"/>
      <c r="Q16" s="3"/>
      <c r="R16" s="3"/>
      <c r="S16" s="3"/>
      <c r="T16" s="3"/>
      <c r="U16" s="3"/>
      <c r="V16" s="3"/>
      <c r="W16" s="3"/>
      <c r="X16" s="3"/>
      <c r="Y16" s="3"/>
      <c r="Z16" s="3"/>
    </row>
    <row r="17" ht="41.25" customHeight="1">
      <c r="A17" s="12"/>
      <c r="B17" s="49"/>
      <c r="C17" s="17"/>
      <c r="D17" s="3"/>
      <c r="E17" s="3"/>
      <c r="F17" s="3"/>
      <c r="G17" s="3"/>
      <c r="H17" s="3"/>
      <c r="I17" s="3"/>
      <c r="J17" s="3"/>
      <c r="K17" s="3"/>
      <c r="L17" s="3"/>
      <c r="M17" s="3"/>
      <c r="N17" s="3"/>
      <c r="O17" s="3"/>
      <c r="P17" s="3"/>
      <c r="Q17" s="3"/>
      <c r="R17" s="3"/>
      <c r="S17" s="3"/>
      <c r="T17" s="3"/>
      <c r="U17" s="3"/>
      <c r="V17" s="3"/>
      <c r="W17" s="3"/>
      <c r="X17" s="3"/>
      <c r="Y17" s="3"/>
      <c r="Z17" s="3"/>
    </row>
    <row r="18" ht="41.25" customHeight="1">
      <c r="A18" s="12"/>
      <c r="B18" s="49"/>
      <c r="C18" s="17"/>
      <c r="D18" s="3"/>
      <c r="E18" s="3"/>
      <c r="F18" s="3"/>
      <c r="G18" s="3"/>
      <c r="H18" s="3"/>
      <c r="I18" s="3"/>
      <c r="J18" s="3"/>
      <c r="K18" s="3"/>
      <c r="L18" s="3"/>
      <c r="M18" s="3"/>
      <c r="N18" s="3"/>
      <c r="O18" s="3"/>
      <c r="P18" s="3"/>
      <c r="Q18" s="3"/>
      <c r="R18" s="3"/>
      <c r="S18" s="3"/>
      <c r="T18" s="3"/>
      <c r="U18" s="3"/>
      <c r="V18" s="3"/>
      <c r="W18" s="3"/>
      <c r="X18" s="3"/>
      <c r="Y18" s="3"/>
      <c r="Z18" s="3"/>
    </row>
    <row r="19" ht="41.25" customHeight="1">
      <c r="A19" s="54" t="s">
        <v>58</v>
      </c>
      <c r="B19" s="21"/>
      <c r="C19" s="21"/>
      <c r="D19" s="21"/>
      <c r="E19" s="21"/>
      <c r="F19" s="21"/>
      <c r="G19" s="21"/>
      <c r="H19" s="21"/>
      <c r="I19" s="2"/>
      <c r="J19" s="3"/>
      <c r="K19" s="3"/>
      <c r="L19" s="3"/>
      <c r="M19" s="3"/>
      <c r="N19" s="3"/>
      <c r="O19" s="3"/>
      <c r="P19" s="3"/>
      <c r="Q19" s="3"/>
      <c r="R19" s="3"/>
      <c r="S19" s="3"/>
      <c r="T19" s="3"/>
      <c r="U19" s="3"/>
      <c r="V19" s="3"/>
      <c r="W19" s="3"/>
      <c r="X19" s="3"/>
      <c r="Y19" s="3"/>
      <c r="Z19" s="3"/>
    </row>
    <row r="20" ht="39.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9.0" customHeight="1">
      <c r="A21" s="55" t="s">
        <v>148</v>
      </c>
      <c r="B21" s="5"/>
      <c r="C21" s="17"/>
      <c r="D21" s="3"/>
      <c r="E21" s="3"/>
      <c r="F21" s="3"/>
      <c r="G21" s="3"/>
      <c r="H21" s="3"/>
      <c r="I21" s="3"/>
      <c r="J21" s="3"/>
      <c r="K21" s="3"/>
      <c r="L21" s="3"/>
      <c r="M21" s="3"/>
      <c r="N21" s="3"/>
      <c r="O21" s="3"/>
      <c r="P21" s="3"/>
      <c r="Q21" s="3"/>
      <c r="R21" s="3"/>
      <c r="S21" s="3"/>
      <c r="T21" s="3"/>
      <c r="U21" s="3"/>
      <c r="V21" s="3"/>
      <c r="W21" s="3"/>
      <c r="X21" s="3"/>
      <c r="Y21" s="3"/>
      <c r="Z21" s="3"/>
    </row>
    <row r="22" ht="39.0" customHeight="1">
      <c r="A22" s="12"/>
      <c r="B22" s="49"/>
      <c r="C22" s="17"/>
      <c r="D22" s="3"/>
      <c r="E22" s="3"/>
      <c r="F22" s="3"/>
      <c r="G22" s="3"/>
      <c r="H22" s="3"/>
      <c r="I22" s="3"/>
      <c r="J22" s="3"/>
      <c r="K22" s="3"/>
      <c r="L22" s="3"/>
      <c r="M22" s="3"/>
      <c r="N22" s="3"/>
      <c r="O22" s="3"/>
      <c r="P22" s="3"/>
      <c r="Q22" s="3"/>
      <c r="R22" s="3"/>
      <c r="S22" s="3"/>
      <c r="T22" s="3"/>
      <c r="U22" s="3"/>
      <c r="V22" s="3"/>
      <c r="W22" s="3"/>
      <c r="X22" s="3"/>
      <c r="Y22" s="3"/>
      <c r="Z22" s="3"/>
    </row>
    <row r="23" ht="39.0" customHeight="1">
      <c r="A23" s="75" t="s">
        <v>149</v>
      </c>
      <c r="B23" s="55" t="s">
        <v>34</v>
      </c>
      <c r="C23" s="45"/>
      <c r="D23" s="3"/>
      <c r="E23" s="3"/>
      <c r="F23" s="3"/>
      <c r="G23" s="3"/>
      <c r="H23" s="3"/>
      <c r="I23" s="3"/>
      <c r="J23" s="3"/>
      <c r="K23" s="3"/>
      <c r="L23" s="3"/>
      <c r="M23" s="3"/>
      <c r="N23" s="3"/>
      <c r="O23" s="3"/>
      <c r="P23" s="3"/>
      <c r="Q23" s="3"/>
      <c r="R23" s="3"/>
      <c r="S23" s="3"/>
      <c r="T23" s="3"/>
      <c r="U23" s="3"/>
      <c r="V23" s="3"/>
      <c r="W23" s="3"/>
      <c r="X23" s="3"/>
      <c r="Y23" s="3"/>
      <c r="Z23" s="3"/>
    </row>
    <row r="24" ht="39.0" customHeight="1">
      <c r="A24" s="22"/>
      <c r="B24" s="55" t="s">
        <v>35</v>
      </c>
      <c r="C24" s="45"/>
      <c r="D24" s="3"/>
      <c r="E24" s="3"/>
      <c r="F24" s="3"/>
      <c r="G24" s="3"/>
      <c r="H24" s="3"/>
      <c r="I24" s="3"/>
      <c r="J24" s="3"/>
      <c r="K24" s="3"/>
      <c r="L24" s="3"/>
      <c r="M24" s="3"/>
      <c r="N24" s="3"/>
      <c r="O24" s="3"/>
      <c r="P24" s="3"/>
      <c r="Q24" s="3"/>
      <c r="R24" s="3"/>
      <c r="S24" s="3"/>
      <c r="T24" s="3"/>
      <c r="U24" s="3"/>
      <c r="V24" s="3"/>
      <c r="W24" s="3"/>
      <c r="X24" s="3"/>
      <c r="Y24" s="3"/>
      <c r="Z24" s="3"/>
    </row>
    <row r="25" ht="39.0" customHeight="1">
      <c r="A25" s="12"/>
      <c r="B25" s="12"/>
      <c r="C25" s="12"/>
      <c r="D25" s="3"/>
      <c r="E25" s="3"/>
      <c r="F25" s="3"/>
      <c r="G25" s="3"/>
      <c r="H25" s="3"/>
      <c r="I25" s="3"/>
      <c r="J25" s="3"/>
      <c r="K25" s="3"/>
      <c r="L25" s="3"/>
      <c r="M25" s="3"/>
      <c r="N25" s="3"/>
      <c r="O25" s="3"/>
      <c r="P25" s="3"/>
      <c r="Q25" s="3"/>
      <c r="R25" s="3"/>
      <c r="S25" s="3"/>
      <c r="T25" s="3"/>
      <c r="U25" s="3"/>
      <c r="V25" s="3"/>
      <c r="W25" s="3"/>
      <c r="X25" s="3"/>
      <c r="Y25" s="3"/>
      <c r="Z25" s="3"/>
    </row>
    <row r="26" ht="39.0" customHeight="1">
      <c r="A26" s="12"/>
      <c r="B26" s="12"/>
      <c r="C26" s="12"/>
      <c r="D26" s="3"/>
      <c r="E26" s="3"/>
      <c r="F26" s="3"/>
      <c r="G26" s="3"/>
      <c r="H26" s="3"/>
      <c r="I26" s="3"/>
      <c r="J26" s="3"/>
      <c r="K26" s="3"/>
      <c r="L26" s="3"/>
      <c r="M26" s="3"/>
      <c r="N26" s="3"/>
      <c r="O26" s="3"/>
      <c r="P26" s="3"/>
      <c r="Q26" s="3"/>
      <c r="R26" s="3"/>
      <c r="S26" s="3"/>
      <c r="T26" s="3"/>
      <c r="U26" s="3"/>
      <c r="V26" s="3"/>
      <c r="W26" s="3"/>
      <c r="X26" s="3"/>
      <c r="Y26" s="3"/>
      <c r="Z26" s="3"/>
    </row>
    <row r="27" ht="39.0" customHeight="1">
      <c r="A27" s="55" t="s">
        <v>61</v>
      </c>
      <c r="B27" s="12"/>
      <c r="C27" s="12"/>
      <c r="D27" s="3"/>
      <c r="E27" s="3"/>
      <c r="F27" s="3"/>
      <c r="G27" s="3"/>
      <c r="H27" s="3"/>
      <c r="I27" s="3"/>
      <c r="J27" s="3"/>
      <c r="K27" s="3"/>
      <c r="L27" s="3"/>
      <c r="M27" s="3"/>
      <c r="N27" s="3"/>
      <c r="O27" s="3"/>
      <c r="P27" s="3"/>
      <c r="Q27" s="3"/>
      <c r="R27" s="3"/>
      <c r="S27" s="3"/>
      <c r="T27" s="3"/>
      <c r="U27" s="3"/>
      <c r="V27" s="3"/>
      <c r="W27" s="3"/>
      <c r="X27" s="3"/>
      <c r="Y27" s="3"/>
      <c r="Z27" s="3"/>
    </row>
    <row r="28" ht="39.0" customHeight="1">
      <c r="A28" s="57"/>
      <c r="B28" s="37"/>
      <c r="C28" s="37"/>
      <c r="D28" s="37"/>
      <c r="E28" s="37"/>
      <c r="F28" s="37"/>
      <c r="G28" s="37"/>
      <c r="H28" s="37"/>
      <c r="I28" s="31"/>
      <c r="J28" s="3"/>
      <c r="K28" s="3"/>
      <c r="L28" s="3"/>
      <c r="M28" s="3"/>
      <c r="N28" s="3"/>
      <c r="O28" s="3"/>
      <c r="P28" s="3"/>
      <c r="Q28" s="3"/>
      <c r="R28" s="3"/>
      <c r="S28" s="3"/>
      <c r="T28" s="3"/>
      <c r="U28" s="3"/>
      <c r="V28" s="3"/>
      <c r="W28" s="3"/>
      <c r="X28" s="3"/>
      <c r="Y28" s="3"/>
      <c r="Z28" s="3"/>
    </row>
    <row r="29" ht="39.0" customHeight="1">
      <c r="A29" s="38"/>
      <c r="I29" s="39"/>
      <c r="J29" s="3"/>
      <c r="K29" s="3"/>
      <c r="L29" s="3"/>
      <c r="M29" s="3"/>
      <c r="N29" s="3"/>
      <c r="O29" s="3"/>
      <c r="P29" s="3"/>
      <c r="Q29" s="3"/>
      <c r="R29" s="3"/>
      <c r="S29" s="3"/>
      <c r="T29" s="3"/>
      <c r="U29" s="3"/>
      <c r="V29" s="3"/>
      <c r="W29" s="3"/>
      <c r="X29" s="3"/>
      <c r="Y29" s="3"/>
      <c r="Z29" s="3"/>
    </row>
    <row r="30" ht="39.0" customHeight="1">
      <c r="A30" s="38"/>
      <c r="I30" s="39"/>
      <c r="J30" s="3"/>
      <c r="K30" s="3"/>
      <c r="L30" s="3"/>
      <c r="M30" s="3"/>
      <c r="N30" s="3"/>
      <c r="O30" s="3"/>
      <c r="P30" s="3"/>
      <c r="Q30" s="3"/>
      <c r="R30" s="3"/>
      <c r="S30" s="3"/>
      <c r="T30" s="3"/>
      <c r="U30" s="3"/>
      <c r="V30" s="3"/>
      <c r="W30" s="3"/>
      <c r="X30" s="3"/>
      <c r="Y30" s="3"/>
      <c r="Z30" s="3"/>
    </row>
    <row r="31" ht="39.0" customHeight="1">
      <c r="A31" s="33"/>
      <c r="B31" s="40"/>
      <c r="C31" s="40"/>
      <c r="D31" s="40"/>
      <c r="E31" s="40"/>
      <c r="F31" s="40"/>
      <c r="G31" s="40"/>
      <c r="H31" s="40"/>
      <c r="I31" s="34"/>
      <c r="J31" s="3"/>
      <c r="K31" s="3"/>
      <c r="L31" s="3"/>
      <c r="M31" s="3"/>
      <c r="N31" s="3"/>
      <c r="O31" s="3"/>
      <c r="P31" s="3"/>
      <c r="Q31" s="3"/>
      <c r="R31" s="3"/>
      <c r="S31" s="3"/>
      <c r="T31" s="3"/>
      <c r="U31" s="3"/>
      <c r="V31" s="3"/>
      <c r="W31" s="3"/>
      <c r="X31" s="3"/>
      <c r="Y31" s="3"/>
      <c r="Z31" s="3"/>
    </row>
    <row r="32" ht="39.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9.0" customHeight="1">
      <c r="A33" s="55" t="s">
        <v>62</v>
      </c>
      <c r="B33" s="12"/>
      <c r="C33" s="12"/>
      <c r="D33" s="3"/>
      <c r="E33" s="3"/>
      <c r="F33" s="3"/>
      <c r="G33" s="3"/>
      <c r="H33" s="3"/>
      <c r="I33" s="3"/>
      <c r="J33" s="3"/>
      <c r="K33" s="3"/>
      <c r="L33" s="3"/>
      <c r="M33" s="3"/>
      <c r="N33" s="3"/>
      <c r="O33" s="3"/>
      <c r="P33" s="3"/>
      <c r="Q33" s="3"/>
      <c r="R33" s="3"/>
      <c r="S33" s="3"/>
      <c r="T33" s="3"/>
      <c r="U33" s="3"/>
      <c r="V33" s="3"/>
      <c r="W33" s="3"/>
      <c r="X33" s="3"/>
      <c r="Y33" s="3"/>
      <c r="Z33" s="3"/>
    </row>
    <row r="34" ht="39.0" customHeight="1">
      <c r="A34" s="57"/>
      <c r="B34" s="37"/>
      <c r="C34" s="37"/>
      <c r="D34" s="37"/>
      <c r="E34" s="37"/>
      <c r="F34" s="37"/>
      <c r="G34" s="37"/>
      <c r="H34" s="37"/>
      <c r="I34" s="31"/>
      <c r="J34" s="3"/>
      <c r="K34" s="3"/>
      <c r="L34" s="3"/>
      <c r="M34" s="3"/>
      <c r="N34" s="3"/>
      <c r="O34" s="3"/>
      <c r="P34" s="3"/>
      <c r="Q34" s="3"/>
      <c r="R34" s="3"/>
      <c r="S34" s="3"/>
      <c r="T34" s="3"/>
      <c r="U34" s="3"/>
      <c r="V34" s="3"/>
      <c r="W34" s="3"/>
      <c r="X34" s="3"/>
      <c r="Y34" s="3"/>
      <c r="Z34" s="3"/>
    </row>
    <row r="35" ht="39.0" customHeight="1">
      <c r="A35" s="38"/>
      <c r="I35" s="39"/>
      <c r="J35" s="3"/>
      <c r="K35" s="3"/>
      <c r="L35" s="3"/>
      <c r="M35" s="3"/>
      <c r="N35" s="3"/>
      <c r="O35" s="3"/>
      <c r="P35" s="3"/>
      <c r="Q35" s="3"/>
      <c r="R35" s="3"/>
      <c r="S35" s="3"/>
      <c r="T35" s="3"/>
      <c r="U35" s="3"/>
      <c r="V35" s="3"/>
      <c r="W35" s="3"/>
      <c r="X35" s="3"/>
      <c r="Y35" s="3"/>
      <c r="Z35" s="3"/>
    </row>
    <row r="36" ht="39.0" customHeight="1">
      <c r="A36" s="38"/>
      <c r="I36" s="39"/>
      <c r="J36" s="3"/>
      <c r="K36" s="3"/>
      <c r="L36" s="3"/>
      <c r="M36" s="3"/>
      <c r="N36" s="3"/>
      <c r="O36" s="3"/>
      <c r="P36" s="3"/>
      <c r="Q36" s="3"/>
      <c r="R36" s="3"/>
      <c r="S36" s="3"/>
      <c r="T36" s="3"/>
      <c r="U36" s="3"/>
      <c r="V36" s="3"/>
      <c r="W36" s="3"/>
      <c r="X36" s="3"/>
      <c r="Y36" s="3"/>
      <c r="Z36" s="3"/>
    </row>
    <row r="37" ht="39.0" customHeight="1">
      <c r="A37" s="33"/>
      <c r="B37" s="40"/>
      <c r="C37" s="40"/>
      <c r="D37" s="40"/>
      <c r="E37" s="40"/>
      <c r="F37" s="40"/>
      <c r="G37" s="40"/>
      <c r="H37" s="40"/>
      <c r="I37" s="34"/>
      <c r="J37" s="3"/>
      <c r="K37" s="3"/>
      <c r="L37" s="3"/>
      <c r="M37" s="3"/>
      <c r="N37" s="3"/>
      <c r="O37" s="3"/>
      <c r="P37" s="3"/>
      <c r="Q37" s="3"/>
      <c r="R37" s="3"/>
      <c r="S37" s="3"/>
      <c r="T37" s="3"/>
      <c r="U37" s="3"/>
      <c r="V37" s="3"/>
      <c r="W37" s="3"/>
      <c r="X37" s="3"/>
      <c r="Y37" s="3"/>
      <c r="Z37" s="3"/>
    </row>
    <row r="38" ht="39.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9.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9.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9.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9.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9.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9.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9.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9.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9.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9.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9.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9.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9.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9.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9.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9.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9.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9.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9.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9.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9.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9.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9.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9.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9.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9.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9.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9.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9.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9.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9.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9.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9.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9.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9.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9.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9.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9.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9.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9.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9.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9.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9.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9.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9.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9.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9.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9.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9.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9.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9.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9.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9.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9.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9.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9.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9.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9.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9.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9.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9.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9.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9.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9.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9.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9.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9.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9.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9.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9.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9.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9.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9.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9.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9.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9.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9.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9.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9.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9.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9.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9.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9.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9.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9.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9.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9.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9.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9.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9.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9.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9.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9.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9.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9.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9.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9.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9.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9.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9.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9.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9.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9.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9.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9.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9.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9.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9.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9.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9.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9.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9.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9.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9.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9.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9.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9.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9.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9.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9.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9.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9.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9.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9.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9.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9.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9.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9.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9.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9.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9.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9.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9.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9.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9.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9.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9.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9.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9.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9.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9.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9.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9.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9.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9.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9.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9.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9.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9.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9.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9.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9.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9.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9.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9.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9.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9.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9.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9.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9.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9.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9.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9.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9.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9.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9.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9.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9.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9.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9.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9.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9.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9.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9.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9.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9.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9.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9.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9.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9.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9.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9.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9.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9.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9.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9.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9.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9.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9.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9.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9.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9.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9.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9.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9.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9.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9.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9.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9.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9.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9.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9.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9.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9.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9.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9.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9.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9.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9.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9.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9.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9.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9.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9.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9.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9.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9.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9.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9.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9.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9.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9.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9.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9.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9.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9.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9.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9.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9.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9.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9.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9.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9.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9.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9.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9.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9.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9.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9.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9.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9.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9.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9.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9.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9.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9.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9.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9.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9.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9.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9.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9.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9.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9.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9.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9.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9.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9.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9.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9.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9.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9.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9.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9.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9.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9.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9.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9.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9.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9.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9.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9.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9.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9.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9.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9.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9.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9.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9.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9.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9.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9.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9.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9.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9.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9.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9.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9.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9.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9.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9.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9.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9.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9.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9.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9.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9.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9.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9.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9.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9.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9.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9.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9.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9.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9.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9.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9.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9.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9.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9.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9.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9.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9.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9.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9.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9.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9.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9.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9.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9.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9.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9.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9.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9.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9.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9.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9.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9.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9.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9.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9.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9.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9.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9.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9.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9.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9.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9.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9.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9.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9.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9.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9.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9.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9.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9.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9.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9.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9.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9.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9.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9.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9.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9.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9.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9.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9.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9.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9.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9.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9.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9.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9.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9.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9.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9.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9.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9.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9.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9.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9.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9.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9.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9.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9.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9.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9.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9.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9.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9.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9.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9.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9.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9.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9.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9.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9.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9.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9.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9.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9.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9.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9.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9.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9.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9.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9.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9.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9.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9.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9.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9.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9.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9.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9.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9.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9.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9.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9.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9.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9.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9.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9.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9.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9.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9.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9.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9.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9.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9.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9.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9.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9.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9.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9.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9.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9.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9.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9.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9.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9.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9.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9.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9.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9.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9.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9.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9.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9.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9.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9.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9.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9.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9.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9.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9.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9.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9.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9.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9.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9.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9.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9.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9.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9.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9.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9.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9.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9.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9.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9.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9.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9.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9.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9.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9.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9.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9.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9.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9.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9.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9.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9.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9.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9.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9.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9.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9.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9.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9.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9.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9.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9.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9.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9.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9.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9.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9.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9.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9.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9.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9.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9.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9.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9.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9.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9.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9.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9.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9.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9.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9.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9.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9.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9.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9.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9.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9.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9.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9.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9.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9.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9.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9.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9.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9.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9.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9.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9.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9.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9.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9.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9.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9.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9.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9.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9.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9.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9.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9.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9.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9.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9.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9.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9.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9.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9.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9.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9.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9.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9.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9.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9.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9.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9.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9.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9.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9.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9.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9.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9.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9.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9.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9.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9.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9.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9.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9.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9.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9.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9.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9.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9.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9.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9.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9.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9.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9.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9.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9.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9.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9.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9.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9.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9.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9.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9.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9.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9.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9.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9.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9.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9.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9.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9.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9.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9.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9.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9.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9.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9.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9.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9.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9.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9.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9.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9.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9.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9.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9.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9.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9.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9.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9.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9.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9.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9.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9.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9.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9.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9.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9.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9.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9.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9.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9.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9.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9.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9.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9.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9.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9.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9.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9.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9.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9.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9.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9.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9.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9.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9.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9.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9.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9.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9.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9.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9.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9.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9.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9.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9.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9.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9.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9.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9.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9.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9.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9.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9.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9.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9.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9.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9.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9.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9.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9.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9.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9.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9.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9.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9.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9.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9.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9.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9.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9.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9.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9.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9.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9.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9.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9.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9.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9.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9.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9.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9.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9.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9.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9.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9.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9.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9.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9.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9.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9.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9.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9.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9.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9.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9.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9.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9.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9.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9.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9.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9.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9.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9.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9.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9.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9.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9.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9.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9.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9.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9.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9.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9.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9.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9.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9.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9.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9.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9.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9.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9.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9.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9.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9.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9.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9.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9.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9.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9.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9.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9.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9.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9.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9.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9.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9.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9.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9.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9.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9.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9.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9.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9.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9.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9.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9.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9.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9.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9.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9.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9.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9.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9.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9.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9.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9.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9.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9.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9.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9.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9.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9.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9.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9.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9.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9.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9.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9.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9.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9.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9.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9.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9.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9.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9.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9.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9.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9.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9.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9.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9.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9.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9.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9.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9.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9.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9.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9.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9.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9.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9.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9.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9.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9.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9.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9.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9.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9.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9.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9.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9.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9.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9.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9.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9.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9.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9.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9.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9.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9.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9.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9.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9.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9.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9.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9.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9.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9.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9.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9.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9.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9.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9.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9.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9.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9.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9.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9.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9.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9.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9.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9.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9.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9.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9.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9.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9.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9.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9.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9.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9.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9.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9.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9.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9.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9.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9.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9.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9.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9.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9.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9.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9.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9.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9.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9.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9.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9.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9.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9.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9.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9.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9.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9.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9.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9.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9.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9.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9.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9.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9.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9.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9.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9.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9.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9.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9.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9.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9.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9.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9.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9.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9.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9.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9.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9.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9.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9.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9.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9.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9.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9.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9.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9.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9.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9.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9.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9.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9.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9.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9.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9.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9.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9.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9.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9.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9.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9.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9.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9.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9.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9.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9.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9.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9.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9.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9.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9.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9.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9.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9.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9.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9.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9.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9.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9.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9.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9.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9.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9.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9.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9.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9.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9.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9.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9.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9.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9.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9.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9.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9.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9.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9.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9.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9.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9.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9.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9.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9.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9.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9.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9.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9.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9.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9.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9.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9.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9.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9.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9.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9.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9.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9.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9.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8">
    <mergeCell ref="A1:I1"/>
    <mergeCell ref="A2:I2"/>
    <mergeCell ref="A8:A9"/>
    <mergeCell ref="A12:I15"/>
    <mergeCell ref="A19:I19"/>
    <mergeCell ref="A23:A24"/>
    <mergeCell ref="A28:I31"/>
    <mergeCell ref="A34:I37"/>
  </mergeCells>
  <conditionalFormatting sqref="A34:I37">
    <cfRule type="containsBlanks" dxfId="1" priority="1">
      <formula>LEN(TRIM(A34))=0</formula>
    </cfRule>
  </conditionalFormatting>
  <conditionalFormatting sqref="B21">
    <cfRule type="containsBlanks" dxfId="1" priority="2">
      <formula>LEN(TRIM(B21))=0</formula>
    </cfRule>
  </conditionalFormatting>
  <conditionalFormatting sqref="A28:I31 C23:C24">
    <cfRule type="containsBlanks" dxfId="1" priority="3">
      <formula>LEN(TRIM(A28))=0</formula>
    </cfRule>
  </conditionalFormatting>
  <conditionalFormatting sqref="A12:I15 C8:D9">
    <cfRule type="containsBlanks" dxfId="0" priority="4">
      <formula>LEN(TRIM(A12))=0</formula>
    </cfRule>
  </conditionalFormatting>
  <conditionalFormatting sqref="B4">
    <cfRule type="containsBlanks" dxfId="3" priority="5">
      <formula>LEN(TRIM(B4))=0</formula>
    </cfRule>
  </conditionalFormatting>
  <dataValidations>
    <dataValidation type="list" allowBlank="1" showErrorMessage="1" sqref="C23:C24">
      <formula1>"X"</formula1>
    </dataValidation>
  </dataValidations>
  <printOptions/>
  <pageMargins bottom="0.748031496062992" footer="0.0" header="0.0" left="0.708661417322835" right="0.708661417322835" top="0.748031496062992"/>
  <pageSetup paperSize="66" orientation="landscape"/>
  <headerFooter>
    <oddHeader>&amp;L000000</oddHeader>
  </headerFooter>
  <rowBreaks count="1" manualBreakCount="1">
    <brk id="15" man="1"/>
  </rowBrea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29"/>
    <col customWidth="1" min="2" max="4" width="32.43"/>
    <col customWidth="1" min="5" max="26" width="11.43"/>
  </cols>
  <sheetData>
    <row r="1" ht="68.25" customHeight="1">
      <c r="A1" s="41" t="s">
        <v>121</v>
      </c>
      <c r="J1" s="9"/>
      <c r="K1" s="9"/>
      <c r="L1" s="9"/>
      <c r="M1" s="3"/>
      <c r="N1" s="3"/>
      <c r="O1" s="3"/>
      <c r="P1" s="3"/>
      <c r="Q1" s="3"/>
      <c r="R1" s="3"/>
      <c r="S1" s="3"/>
      <c r="T1" s="3"/>
      <c r="U1" s="3"/>
      <c r="V1" s="3"/>
      <c r="W1" s="3"/>
      <c r="X1" s="3"/>
      <c r="Y1" s="3"/>
      <c r="Z1" s="3"/>
    </row>
    <row r="2" ht="13.5" customHeight="1">
      <c r="A2" s="43"/>
      <c r="B2" s="7"/>
      <c r="C2" s="7"/>
      <c r="D2" s="7"/>
      <c r="E2" s="7"/>
      <c r="F2" s="7"/>
      <c r="G2" s="7"/>
      <c r="H2" s="7"/>
      <c r="I2" s="8"/>
      <c r="J2" s="3"/>
      <c r="K2" s="3"/>
      <c r="L2" s="3"/>
      <c r="M2" s="3"/>
      <c r="N2" s="3"/>
      <c r="O2" s="3"/>
      <c r="P2" s="3"/>
      <c r="Q2" s="3"/>
      <c r="R2" s="3"/>
      <c r="S2" s="3"/>
      <c r="T2" s="3"/>
      <c r="U2" s="3"/>
      <c r="V2" s="3"/>
      <c r="W2" s="3"/>
      <c r="X2" s="3"/>
      <c r="Y2" s="3"/>
      <c r="Z2" s="3"/>
    </row>
    <row r="3" ht="13.5" customHeight="1">
      <c r="A3" s="12"/>
      <c r="B3" s="12"/>
      <c r="C3" s="12"/>
      <c r="D3" s="12"/>
      <c r="E3" s="12"/>
      <c r="F3" s="12"/>
      <c r="G3" s="12"/>
      <c r="H3" s="12"/>
      <c r="I3" s="12"/>
      <c r="J3" s="3"/>
      <c r="K3" s="3"/>
      <c r="L3" s="3"/>
      <c r="M3" s="3"/>
      <c r="N3" s="3"/>
      <c r="O3" s="3"/>
      <c r="P3" s="3"/>
      <c r="Q3" s="3"/>
      <c r="R3" s="3"/>
      <c r="S3" s="3"/>
      <c r="T3" s="3"/>
      <c r="U3" s="3"/>
      <c r="V3" s="3"/>
      <c r="W3" s="3"/>
      <c r="X3" s="3"/>
      <c r="Y3" s="3"/>
      <c r="Z3" s="3"/>
    </row>
    <row r="4" ht="13.5" customHeight="1">
      <c r="A4" s="13" t="s">
        <v>5</v>
      </c>
      <c r="B4" s="71" t="str">
        <f>IF(NOMPRENOM="", "", NOMPRENOM)</f>
        <v/>
      </c>
      <c r="C4" s="12"/>
      <c r="D4" s="15"/>
      <c r="E4" s="12"/>
      <c r="F4" s="12"/>
      <c r="G4" s="12"/>
      <c r="H4" s="12"/>
      <c r="I4" s="12"/>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3.5" customHeight="1">
      <c r="A6" s="44"/>
      <c r="B6" s="44"/>
      <c r="C6" s="44"/>
      <c r="D6" s="44"/>
      <c r="E6" s="3"/>
      <c r="F6" s="3"/>
      <c r="G6" s="3"/>
      <c r="H6" s="3"/>
      <c r="I6" s="3"/>
      <c r="J6" s="3"/>
      <c r="K6" s="3"/>
      <c r="L6" s="3"/>
      <c r="M6" s="3"/>
      <c r="N6" s="3"/>
      <c r="O6" s="3"/>
      <c r="P6" s="3"/>
      <c r="Q6" s="3"/>
      <c r="R6" s="3"/>
      <c r="S6" s="3"/>
      <c r="T6" s="3"/>
      <c r="U6" s="3"/>
      <c r="V6" s="3"/>
      <c r="W6" s="3"/>
      <c r="X6" s="3"/>
      <c r="Y6" s="3"/>
      <c r="Z6" s="3"/>
    </row>
    <row r="7" ht="33.0" customHeight="1">
      <c r="A7" s="3"/>
      <c r="B7" s="3"/>
      <c r="C7" s="72" t="s">
        <v>52</v>
      </c>
      <c r="D7" s="72" t="s">
        <v>53</v>
      </c>
      <c r="E7" s="3"/>
      <c r="F7" s="3"/>
      <c r="G7" s="3"/>
      <c r="H7" s="3"/>
      <c r="I7" s="3"/>
      <c r="J7" s="3"/>
      <c r="K7" s="3"/>
      <c r="L7" s="3"/>
      <c r="M7" s="3"/>
      <c r="N7" s="3"/>
      <c r="O7" s="3"/>
      <c r="P7" s="3"/>
      <c r="Q7" s="3"/>
      <c r="R7" s="3"/>
      <c r="S7" s="3"/>
      <c r="T7" s="3"/>
      <c r="U7" s="3"/>
      <c r="V7" s="3"/>
      <c r="W7" s="3"/>
      <c r="X7" s="3"/>
      <c r="Y7" s="3"/>
      <c r="Z7" s="3"/>
    </row>
    <row r="8" ht="39.75" customHeight="1">
      <c r="A8" s="46" t="s">
        <v>51</v>
      </c>
      <c r="B8" s="23" t="s">
        <v>54</v>
      </c>
      <c r="C8" s="45" t="str">
        <f>IF(ME1.1_OUI="", "", ME1.1_OUI)</f>
        <v/>
      </c>
      <c r="D8" s="45" t="str">
        <f>IF(ME1.1_NON="", "", ME1.1_NON)</f>
        <v/>
      </c>
      <c r="E8" s="3"/>
      <c r="F8" s="3"/>
      <c r="G8" s="3"/>
      <c r="H8" s="3"/>
      <c r="I8" s="3"/>
      <c r="J8" s="3"/>
      <c r="K8" s="3"/>
      <c r="L8" s="3"/>
      <c r="M8" s="3"/>
      <c r="N8" s="3"/>
      <c r="O8" s="3"/>
      <c r="P8" s="3"/>
      <c r="Q8" s="3"/>
      <c r="R8" s="3"/>
      <c r="S8" s="3"/>
      <c r="T8" s="3"/>
      <c r="U8" s="3"/>
      <c r="V8" s="3"/>
      <c r="W8" s="3"/>
      <c r="X8" s="3"/>
      <c r="Y8" s="3"/>
      <c r="Z8" s="3"/>
    </row>
    <row r="9" ht="39.75" customHeight="1">
      <c r="A9" s="29"/>
      <c r="B9" s="23" t="s">
        <v>55</v>
      </c>
      <c r="C9" s="45" t="str">
        <f>IF(ME1.2_OUI="", "", ME1.2_OUI)</f>
        <v/>
      </c>
      <c r="D9" s="45" t="str">
        <f>IF(ME1.2_NON="", "", ME1.2_NON)</f>
        <v/>
      </c>
      <c r="E9" s="3"/>
      <c r="F9" s="3"/>
      <c r="G9" s="3"/>
      <c r="H9" s="3"/>
      <c r="I9" s="3"/>
      <c r="J9" s="3"/>
      <c r="K9" s="3"/>
      <c r="L9" s="3"/>
      <c r="M9" s="3"/>
      <c r="N9" s="3"/>
      <c r="O9" s="3"/>
      <c r="P9" s="3"/>
      <c r="Q9" s="3"/>
      <c r="R9" s="3"/>
      <c r="S9" s="3"/>
      <c r="T9" s="3"/>
      <c r="U9" s="3"/>
      <c r="V9" s="3"/>
      <c r="W9" s="3"/>
      <c r="X9" s="3"/>
      <c r="Y9" s="3"/>
      <c r="Z9" s="3"/>
    </row>
    <row r="10" ht="39.75" customHeight="1">
      <c r="A10" s="29"/>
      <c r="B10" s="23" t="s">
        <v>56</v>
      </c>
      <c r="C10" s="45" t="str">
        <f>IF(ME1.3_OUI="", "", ME1.3_OUI)</f>
        <v/>
      </c>
      <c r="D10" s="45" t="str">
        <f>IF(ME1.3_NON="", "", ME1.3_NON)</f>
        <v/>
      </c>
      <c r="E10" s="3"/>
      <c r="F10" s="3"/>
      <c r="G10" s="3"/>
      <c r="H10" s="3"/>
      <c r="I10" s="3"/>
      <c r="J10" s="3"/>
      <c r="K10" s="3"/>
      <c r="L10" s="3"/>
      <c r="M10" s="3"/>
      <c r="N10" s="3"/>
      <c r="O10" s="3"/>
      <c r="P10" s="3"/>
      <c r="Q10" s="3"/>
      <c r="R10" s="3"/>
      <c r="S10" s="3"/>
      <c r="T10" s="3"/>
      <c r="U10" s="3"/>
      <c r="V10" s="3"/>
      <c r="W10" s="3"/>
      <c r="X10" s="3"/>
      <c r="Y10" s="3"/>
      <c r="Z10" s="3"/>
    </row>
    <row r="11" ht="84.0" customHeight="1">
      <c r="A11" s="46" t="s">
        <v>89</v>
      </c>
      <c r="B11" s="89" t="s">
        <v>91</v>
      </c>
      <c r="C11" s="45" t="str">
        <f>IF(ME2.1_OUI="", "", ME2.1_OUI)</f>
        <v/>
      </c>
      <c r="D11" s="45" t="str">
        <f>IF(ME2.1_NON="", "", ME2.1_NON)</f>
        <v/>
      </c>
      <c r="E11" s="3"/>
      <c r="F11" s="3"/>
      <c r="G11" s="3"/>
      <c r="H11" s="3"/>
      <c r="I11" s="3"/>
      <c r="J11" s="3"/>
      <c r="K11" s="3"/>
      <c r="L11" s="3"/>
      <c r="M11" s="3"/>
      <c r="N11" s="3"/>
      <c r="O11" s="3"/>
      <c r="P11" s="3"/>
      <c r="Q11" s="3"/>
      <c r="R11" s="3"/>
      <c r="S11" s="3"/>
      <c r="T11" s="3"/>
      <c r="U11" s="3"/>
      <c r="V11" s="3"/>
      <c r="W11" s="3"/>
      <c r="X11" s="3"/>
      <c r="Y11" s="3"/>
      <c r="Z11" s="3"/>
    </row>
    <row r="12" ht="39.75" customHeight="1">
      <c r="A12" s="46" t="s">
        <v>117</v>
      </c>
      <c r="B12" s="89" t="s">
        <v>118</v>
      </c>
      <c r="C12" s="45" t="str">
        <f>IF(ME3.1_OUI="", "", ME3.1_OUI)</f>
        <v/>
      </c>
      <c r="D12" s="45" t="str">
        <f>IF(ME3.1_NON="", "", ME3.1_NON)</f>
        <v/>
      </c>
      <c r="E12" s="3"/>
      <c r="F12" s="3"/>
      <c r="G12" s="3"/>
      <c r="H12" s="3"/>
      <c r="I12" s="3"/>
      <c r="J12" s="3"/>
      <c r="K12" s="3"/>
      <c r="L12" s="3"/>
      <c r="M12" s="3"/>
      <c r="N12" s="3"/>
      <c r="O12" s="3"/>
      <c r="P12" s="3"/>
      <c r="Q12" s="3"/>
      <c r="R12" s="3"/>
      <c r="S12" s="3"/>
      <c r="T12" s="3"/>
      <c r="U12" s="3"/>
      <c r="V12" s="3"/>
      <c r="W12" s="3"/>
      <c r="X12" s="3"/>
      <c r="Y12" s="3"/>
      <c r="Z12" s="3"/>
    </row>
    <row r="13" ht="39.75" customHeight="1">
      <c r="A13" s="29"/>
      <c r="B13" s="89" t="s">
        <v>119</v>
      </c>
      <c r="C13" s="45" t="str">
        <f>IF(ME3.2_OUI="", "", ME3.2_OUI)</f>
        <v/>
      </c>
      <c r="D13" s="45" t="str">
        <f>IF(ME3.2_NON="", "", ME3.2_NON)</f>
        <v/>
      </c>
      <c r="E13" s="3"/>
      <c r="F13" s="3"/>
      <c r="G13" s="3"/>
      <c r="H13" s="3"/>
      <c r="I13" s="3"/>
      <c r="J13" s="3"/>
      <c r="K13" s="3"/>
      <c r="L13" s="3"/>
      <c r="M13" s="3"/>
      <c r="N13" s="3"/>
      <c r="O13" s="3"/>
      <c r="P13" s="3"/>
      <c r="Q13" s="3"/>
      <c r="R13" s="3"/>
      <c r="S13" s="3"/>
      <c r="T13" s="3"/>
      <c r="U13" s="3"/>
      <c r="V13" s="3"/>
      <c r="W13" s="3"/>
      <c r="X13" s="3"/>
      <c r="Y13" s="3"/>
      <c r="Z13" s="3"/>
    </row>
    <row r="14" ht="39.75" customHeight="1">
      <c r="A14" s="46" t="s">
        <v>145</v>
      </c>
      <c r="B14" s="89" t="s">
        <v>146</v>
      </c>
      <c r="C14" s="45" t="str">
        <f>IF(ME4.1_OUI="", "", ME4.1_OUI)</f>
        <v/>
      </c>
      <c r="D14" s="45" t="str">
        <f>IF(ME4.1_NON="", "", ME4.1_NON)</f>
        <v/>
      </c>
      <c r="E14" s="3"/>
      <c r="F14" s="3"/>
      <c r="G14" s="3"/>
      <c r="H14" s="3"/>
      <c r="I14" s="3"/>
      <c r="J14" s="3"/>
      <c r="K14" s="3"/>
      <c r="L14" s="3"/>
      <c r="M14" s="3"/>
      <c r="N14" s="3"/>
      <c r="O14" s="3"/>
      <c r="P14" s="3"/>
      <c r="Q14" s="3"/>
      <c r="R14" s="3"/>
      <c r="S14" s="3"/>
      <c r="T14" s="3"/>
      <c r="U14" s="3"/>
      <c r="V14" s="3"/>
      <c r="W14" s="3"/>
      <c r="X14" s="3"/>
      <c r="Y14" s="3"/>
      <c r="Z14" s="3"/>
    </row>
    <row r="15" ht="39.75" customHeight="1">
      <c r="A15" s="29"/>
      <c r="B15" s="89" t="s">
        <v>147</v>
      </c>
      <c r="C15" s="45" t="str">
        <f>IF(ME4.2_OUI="", "", ME4.2_OUI)</f>
        <v/>
      </c>
      <c r="D15" s="45" t="str">
        <f>IF(ME4.2_NON="", "", ME4.2_NON)</f>
        <v/>
      </c>
      <c r="E15" s="3"/>
      <c r="F15" s="3"/>
      <c r="G15" s="3"/>
      <c r="H15" s="3"/>
      <c r="I15" s="3"/>
      <c r="J15" s="3"/>
      <c r="K15" s="3"/>
      <c r="L15" s="3"/>
      <c r="M15" s="3"/>
      <c r="N15" s="3"/>
      <c r="O15" s="3"/>
      <c r="P15" s="3"/>
      <c r="Q15" s="3"/>
      <c r="R15" s="3"/>
      <c r="S15" s="3"/>
      <c r="T15" s="3"/>
      <c r="U15" s="3"/>
      <c r="V15" s="3"/>
      <c r="W15" s="3"/>
      <c r="X15" s="3"/>
      <c r="Y15" s="3"/>
      <c r="Z15" s="3"/>
    </row>
    <row r="16" ht="39.75" customHeight="1">
      <c r="A16" s="46" t="s">
        <v>171</v>
      </c>
      <c r="B16" s="89" t="s">
        <v>172</v>
      </c>
      <c r="C16" s="45" t="str">
        <f>IF(ME5.1_OUI="", "", ME5.1_OUI)</f>
        <v/>
      </c>
      <c r="D16" s="45" t="str">
        <f>IF(ME5.1_NON="", "", ME5.1_NON)</f>
        <v/>
      </c>
      <c r="E16" s="3"/>
      <c r="F16" s="3"/>
      <c r="G16" s="3"/>
      <c r="H16" s="3"/>
      <c r="I16" s="3"/>
      <c r="J16" s="3"/>
      <c r="K16" s="3"/>
      <c r="L16" s="3"/>
      <c r="M16" s="3"/>
      <c r="N16" s="3"/>
      <c r="O16" s="3"/>
      <c r="P16" s="3"/>
      <c r="Q16" s="3"/>
      <c r="R16" s="3"/>
      <c r="S16" s="3"/>
      <c r="T16" s="3"/>
      <c r="U16" s="3"/>
      <c r="V16" s="3"/>
      <c r="W16" s="3"/>
      <c r="X16" s="3"/>
      <c r="Y16" s="3"/>
      <c r="Z16" s="3"/>
    </row>
    <row r="17" ht="39.75" customHeight="1">
      <c r="A17" s="22"/>
      <c r="B17" s="89" t="s">
        <v>173</v>
      </c>
      <c r="C17" s="45" t="str">
        <f>IF(ME5.2_OUI="", "", ME5.2_OUI)</f>
        <v/>
      </c>
      <c r="D17" s="45" t="str">
        <f>IF(ME5.2_NON="", "", ME5.2_NON)</f>
        <v/>
      </c>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A1:I1"/>
    <mergeCell ref="A2:I2"/>
    <mergeCell ref="A8:A10"/>
    <mergeCell ref="A12:A13"/>
    <mergeCell ref="A14:A15"/>
    <mergeCell ref="A16:A17"/>
  </mergeCells>
  <conditionalFormatting sqref="B4">
    <cfRule type="containsBlanks" dxfId="3" priority="1">
      <formula>LEN(TRIM(B4))=0</formula>
    </cfRule>
  </conditionalFormatting>
  <conditionalFormatting sqref="C8:D17">
    <cfRule type="containsBlanks" dxfId="0" priority="2">
      <formula>LEN(TRIM(C8))=0</formula>
    </cfRule>
  </conditionalFormatting>
  <printOptions/>
  <pageMargins bottom="0.75" footer="0.0" header="0.0" left="0.7" right="0.7" top="0.75"/>
  <pageSetup paperSize="9" scale="40" orientation="portrait"/>
  <headerFooter>
    <oddHeader>&amp;L000000</oddHead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14"/>
    <col customWidth="1" min="2" max="3" width="34.14"/>
    <col customWidth="1" min="4" max="8" width="30.43"/>
    <col customWidth="1" min="9" max="26" width="11.43"/>
  </cols>
  <sheetData>
    <row r="1" ht="76.5" customHeight="1">
      <c r="A1" s="41" t="s">
        <v>121</v>
      </c>
      <c r="H1" s="9"/>
      <c r="I1" s="9"/>
      <c r="J1" s="9"/>
      <c r="K1" s="9"/>
      <c r="L1" s="9"/>
      <c r="M1" s="3"/>
      <c r="N1" s="3"/>
      <c r="O1" s="3"/>
      <c r="P1" s="3"/>
      <c r="Q1" s="3"/>
      <c r="R1" s="3"/>
      <c r="S1" s="3"/>
      <c r="T1" s="3"/>
      <c r="U1" s="3"/>
      <c r="V1" s="3"/>
      <c r="W1" s="3"/>
      <c r="X1" s="3"/>
      <c r="Y1" s="3"/>
      <c r="Z1" s="3"/>
    </row>
    <row r="2" ht="24.75" customHeight="1">
      <c r="A2" s="90"/>
      <c r="B2" s="90"/>
      <c r="C2" s="90"/>
      <c r="D2" s="90"/>
      <c r="E2" s="90"/>
      <c r="F2" s="90"/>
      <c r="G2" s="90"/>
      <c r="H2" s="90"/>
      <c r="I2" s="90"/>
      <c r="J2" s="3"/>
      <c r="K2" s="3"/>
      <c r="L2" s="3"/>
      <c r="M2" s="3"/>
      <c r="N2" s="3"/>
      <c r="O2" s="3"/>
      <c r="P2" s="3"/>
      <c r="Q2" s="3"/>
      <c r="R2" s="3"/>
      <c r="S2" s="3"/>
      <c r="T2" s="3"/>
      <c r="U2" s="3"/>
      <c r="V2" s="3"/>
      <c r="W2" s="3"/>
      <c r="X2" s="3"/>
      <c r="Y2" s="3"/>
      <c r="Z2" s="3"/>
    </row>
    <row r="3" ht="25.5" customHeight="1">
      <c r="A3" s="90"/>
      <c r="B3" s="90"/>
      <c r="C3" s="90"/>
      <c r="D3" s="90"/>
      <c r="E3" s="90"/>
      <c r="F3" s="90"/>
      <c r="G3" s="90"/>
      <c r="H3" s="90"/>
      <c r="I3" s="90"/>
      <c r="J3" s="3"/>
      <c r="K3" s="3"/>
      <c r="L3" s="3"/>
      <c r="M3" s="3"/>
      <c r="N3" s="3"/>
      <c r="O3" s="3"/>
      <c r="P3" s="3"/>
      <c r="Q3" s="3"/>
      <c r="R3" s="3"/>
      <c r="S3" s="3"/>
      <c r="T3" s="3"/>
      <c r="U3" s="3"/>
      <c r="V3" s="3"/>
      <c r="W3" s="3"/>
      <c r="X3" s="3"/>
      <c r="Y3" s="3"/>
      <c r="Z3" s="3"/>
    </row>
    <row r="4" ht="42.0" customHeight="1">
      <c r="A4" s="54" t="s">
        <v>58</v>
      </c>
      <c r="B4" s="21"/>
      <c r="C4" s="21"/>
      <c r="D4" s="21"/>
      <c r="E4" s="21"/>
      <c r="F4" s="21"/>
      <c r="G4" s="2"/>
      <c r="H4" s="91"/>
      <c r="I4" s="91"/>
      <c r="J4" s="3"/>
      <c r="K4" s="3"/>
      <c r="L4" s="3"/>
      <c r="M4" s="3"/>
      <c r="N4" s="3"/>
      <c r="O4" s="3"/>
      <c r="P4" s="3"/>
      <c r="Q4" s="3"/>
      <c r="R4" s="3"/>
      <c r="S4" s="3"/>
      <c r="T4" s="3"/>
      <c r="U4" s="3"/>
      <c r="V4" s="3"/>
      <c r="W4" s="3"/>
      <c r="X4" s="3"/>
      <c r="Y4" s="3"/>
      <c r="Z4" s="3"/>
    </row>
    <row r="5" ht="42.0" customHeight="1">
      <c r="A5" s="3"/>
      <c r="B5" s="3"/>
      <c r="C5" s="3"/>
      <c r="D5" s="3"/>
      <c r="E5" s="3"/>
      <c r="F5" s="3"/>
      <c r="G5" s="3"/>
      <c r="H5" s="3"/>
      <c r="I5" s="3"/>
      <c r="J5" s="3"/>
      <c r="K5" s="3"/>
      <c r="L5" s="3"/>
      <c r="M5" s="3"/>
      <c r="N5" s="3"/>
      <c r="O5" s="3"/>
      <c r="P5" s="3"/>
      <c r="Q5" s="3"/>
      <c r="R5" s="3"/>
      <c r="S5" s="3"/>
      <c r="T5" s="3"/>
      <c r="U5" s="3"/>
      <c r="V5" s="3"/>
      <c r="W5" s="3"/>
      <c r="X5" s="3"/>
      <c r="Y5" s="3"/>
      <c r="Z5" s="3"/>
    </row>
    <row r="6" ht="42.0" customHeight="1">
      <c r="A6" s="92" t="s">
        <v>5</v>
      </c>
      <c r="B6" s="45" t="str">
        <f>IF(NOMPRENOM="", "", NOMPRENOM)</f>
        <v/>
      </c>
      <c r="C6" s="15"/>
      <c r="D6" s="12"/>
      <c r="E6" s="12"/>
      <c r="F6" s="12"/>
      <c r="G6" s="12"/>
      <c r="H6" s="12"/>
      <c r="I6" s="3"/>
      <c r="J6" s="3"/>
      <c r="K6" s="3"/>
      <c r="L6" s="3"/>
      <c r="M6" s="3"/>
      <c r="N6" s="3"/>
      <c r="O6" s="3"/>
      <c r="P6" s="3"/>
      <c r="Q6" s="3"/>
      <c r="R6" s="3"/>
      <c r="S6" s="3"/>
      <c r="T6" s="3"/>
      <c r="U6" s="3"/>
      <c r="V6" s="3"/>
      <c r="W6" s="3"/>
      <c r="X6" s="3"/>
      <c r="Y6" s="3"/>
      <c r="Z6" s="3"/>
    </row>
    <row r="7" ht="42.0" customHeight="1">
      <c r="A7" s="93" t="s">
        <v>174</v>
      </c>
      <c r="B7" s="45"/>
      <c r="C7" s="3"/>
      <c r="D7" s="3"/>
      <c r="E7" s="3"/>
      <c r="F7" s="3"/>
      <c r="G7" s="3"/>
      <c r="H7" s="3"/>
      <c r="I7" s="3"/>
      <c r="J7" s="3"/>
      <c r="K7" s="3"/>
      <c r="L7" s="3"/>
      <c r="M7" s="3"/>
      <c r="N7" s="3"/>
      <c r="O7" s="3"/>
      <c r="P7" s="3"/>
      <c r="Q7" s="3"/>
      <c r="R7" s="3"/>
      <c r="S7" s="3"/>
      <c r="T7" s="3"/>
      <c r="U7" s="3"/>
      <c r="V7" s="3"/>
      <c r="W7" s="3"/>
      <c r="X7" s="3"/>
      <c r="Y7" s="3"/>
      <c r="Z7" s="3"/>
    </row>
    <row r="8" ht="28.5" customHeight="1">
      <c r="A8" s="12"/>
      <c r="B8" s="3"/>
      <c r="C8" s="3"/>
      <c r="D8" s="3"/>
      <c r="E8" s="3"/>
      <c r="F8" s="3"/>
      <c r="G8" s="3"/>
      <c r="H8" s="3"/>
      <c r="I8" s="3"/>
      <c r="J8" s="3"/>
      <c r="K8" s="3"/>
      <c r="L8" s="3"/>
      <c r="M8" s="3"/>
      <c r="N8" s="3"/>
      <c r="O8" s="3"/>
      <c r="P8" s="3"/>
      <c r="Q8" s="3"/>
      <c r="R8" s="3"/>
      <c r="S8" s="3"/>
      <c r="T8" s="3"/>
      <c r="U8" s="3"/>
      <c r="V8" s="3"/>
      <c r="W8" s="3"/>
      <c r="X8" s="3"/>
      <c r="Y8" s="3"/>
      <c r="Z8" s="3"/>
    </row>
    <row r="9" ht="42.75" customHeight="1">
      <c r="A9" s="12"/>
      <c r="B9" s="3"/>
      <c r="C9" s="3"/>
      <c r="D9" s="3"/>
      <c r="E9" s="3"/>
      <c r="F9" s="3"/>
      <c r="G9" s="3"/>
      <c r="H9" s="3"/>
      <c r="I9" s="3"/>
      <c r="J9" s="3"/>
      <c r="K9" s="3"/>
      <c r="L9" s="3"/>
      <c r="M9" s="3"/>
      <c r="N9" s="3"/>
      <c r="O9" s="3"/>
      <c r="P9" s="3"/>
      <c r="Q9" s="3"/>
      <c r="R9" s="3"/>
      <c r="S9" s="3"/>
      <c r="T9" s="3"/>
      <c r="U9" s="3"/>
      <c r="V9" s="3"/>
      <c r="W9" s="3"/>
      <c r="X9" s="3"/>
      <c r="Y9" s="3"/>
      <c r="Z9" s="3"/>
    </row>
    <row r="10" ht="45.0" customHeight="1">
      <c r="A10" s="72" t="s">
        <v>175</v>
      </c>
      <c r="B10" s="45" t="s">
        <v>52</v>
      </c>
      <c r="C10" s="45" t="s">
        <v>53</v>
      </c>
      <c r="D10" s="3"/>
      <c r="E10" s="3"/>
      <c r="F10" s="3"/>
      <c r="G10" s="3"/>
      <c r="H10" s="3"/>
      <c r="I10" s="3"/>
      <c r="J10" s="3"/>
      <c r="K10" s="3"/>
      <c r="L10" s="3"/>
      <c r="M10" s="3"/>
      <c r="N10" s="3"/>
      <c r="O10" s="3"/>
      <c r="P10" s="3"/>
      <c r="Q10" s="3"/>
      <c r="R10" s="3"/>
      <c r="S10" s="3"/>
      <c r="T10" s="3"/>
      <c r="U10" s="3"/>
      <c r="V10" s="3"/>
      <c r="W10" s="3"/>
      <c r="X10" s="3"/>
      <c r="Y10" s="3"/>
      <c r="Z10" s="3"/>
    </row>
    <row r="11" ht="51.0" customHeight="1">
      <c r="A11" s="26" t="s">
        <v>176</v>
      </c>
      <c r="B11" s="94" t="str">
        <f>IF(Acquisition_oui_1="","",Acquisition_oui_1)</f>
        <v/>
      </c>
      <c r="C11" s="45" t="str">
        <f>IF(Acquisition_non_1="","",Acquisition_non_1)</f>
        <v/>
      </c>
      <c r="D11" s="3"/>
      <c r="E11" s="3"/>
      <c r="F11" s="3"/>
      <c r="G11" s="3"/>
      <c r="H11" s="3"/>
      <c r="I11" s="3"/>
      <c r="J11" s="3"/>
      <c r="K11" s="3"/>
      <c r="L11" s="3"/>
      <c r="M11" s="3"/>
      <c r="N11" s="3"/>
      <c r="O11" s="3"/>
      <c r="P11" s="3"/>
      <c r="Q11" s="3"/>
      <c r="R11" s="3"/>
      <c r="S11" s="3"/>
      <c r="T11" s="3"/>
      <c r="U11" s="3"/>
      <c r="V11" s="3"/>
      <c r="W11" s="3"/>
      <c r="X11" s="3"/>
      <c r="Y11" s="3"/>
      <c r="Z11" s="3"/>
    </row>
    <row r="12" ht="51.0" customHeight="1">
      <c r="A12" s="26" t="s">
        <v>89</v>
      </c>
      <c r="B12" s="94" t="str">
        <f>IF(Acquisition_bc2_oui="","",Acquisition_bc2_oui)</f>
        <v/>
      </c>
      <c r="C12" s="45" t="str">
        <f>IF(Acquisition_bc2_non="","",Acquisition_bc2_non)</f>
        <v/>
      </c>
      <c r="D12" s="3"/>
      <c r="E12" s="3"/>
      <c r="F12" s="3"/>
      <c r="G12" s="3"/>
      <c r="H12" s="3"/>
      <c r="I12" s="3"/>
      <c r="J12" s="3"/>
      <c r="K12" s="3"/>
      <c r="L12" s="3"/>
      <c r="M12" s="3"/>
      <c r="N12" s="3"/>
      <c r="O12" s="3"/>
      <c r="P12" s="3"/>
      <c r="Q12" s="3"/>
      <c r="R12" s="3"/>
      <c r="S12" s="3"/>
      <c r="T12" s="3"/>
      <c r="U12" s="3"/>
      <c r="V12" s="3"/>
      <c r="W12" s="3"/>
      <c r="X12" s="3"/>
      <c r="Y12" s="3"/>
      <c r="Z12" s="3"/>
    </row>
    <row r="13" ht="51.0" customHeight="1">
      <c r="A13" s="26" t="s">
        <v>117</v>
      </c>
      <c r="B13" s="94" t="str">
        <f>IF(Acquisition_BC3_oui="","",Acquisition_BC3_oui)</f>
        <v/>
      </c>
      <c r="C13" s="45" t="str">
        <f>IF(Acquisition_BC3_non="","",Acquisition_BC3_non)</f>
        <v/>
      </c>
      <c r="D13" s="3"/>
      <c r="E13" s="3"/>
      <c r="F13" s="3"/>
      <c r="G13" s="3"/>
      <c r="H13" s="3"/>
      <c r="I13" s="3"/>
      <c r="J13" s="3"/>
      <c r="K13" s="3"/>
      <c r="L13" s="3"/>
      <c r="M13" s="3"/>
      <c r="N13" s="3"/>
      <c r="O13" s="3"/>
      <c r="P13" s="3"/>
      <c r="Q13" s="3"/>
      <c r="R13" s="3"/>
      <c r="S13" s="3"/>
      <c r="T13" s="3"/>
      <c r="U13" s="3"/>
      <c r="V13" s="3"/>
      <c r="W13" s="3"/>
      <c r="X13" s="3"/>
      <c r="Y13" s="3"/>
      <c r="Z13" s="3"/>
    </row>
    <row r="14" ht="51.0" customHeight="1">
      <c r="A14" s="26" t="s">
        <v>145</v>
      </c>
      <c r="B14" s="94" t="str">
        <f>IF(Acquisition_BC4_oui="","",Acquisition_BC4_oui)</f>
        <v/>
      </c>
      <c r="C14" s="45" t="str">
        <f>IF(Acquisition_BC4_non="","",Acquisition_BC4_non)</f>
        <v/>
      </c>
      <c r="D14" s="3"/>
      <c r="E14" s="3"/>
      <c r="F14" s="3"/>
      <c r="G14" s="3"/>
      <c r="H14" s="3"/>
      <c r="I14" s="3"/>
      <c r="J14" s="3"/>
      <c r="K14" s="3"/>
      <c r="L14" s="3"/>
      <c r="M14" s="3"/>
      <c r="N14" s="3"/>
      <c r="O14" s="3"/>
      <c r="P14" s="3"/>
      <c r="Q14" s="3"/>
      <c r="R14" s="3"/>
      <c r="S14" s="3"/>
      <c r="T14" s="3"/>
      <c r="U14" s="3"/>
      <c r="V14" s="3"/>
      <c r="W14" s="3"/>
      <c r="X14" s="3"/>
      <c r="Y14" s="3"/>
      <c r="Z14" s="3"/>
    </row>
    <row r="15" ht="51.0" customHeight="1">
      <c r="A15" s="26" t="s">
        <v>171</v>
      </c>
      <c r="B15" s="94" t="str">
        <f>IF(Acquisition_BC5_oui="","",Acquisition_BC5_oui)</f>
        <v/>
      </c>
      <c r="C15" s="45" t="str">
        <f>IF(Acquisition_BC5_non="","",Acquisition_BC5_non)</f>
        <v/>
      </c>
      <c r="D15" s="3"/>
      <c r="E15" s="3"/>
      <c r="F15" s="3"/>
      <c r="G15" s="3"/>
      <c r="H15" s="3"/>
      <c r="I15" s="3"/>
      <c r="J15" s="3"/>
      <c r="K15" s="3"/>
      <c r="L15" s="3"/>
      <c r="M15" s="3"/>
      <c r="N15" s="3"/>
      <c r="O15" s="3"/>
      <c r="P15" s="3"/>
      <c r="Q15" s="3"/>
      <c r="R15" s="3"/>
      <c r="S15" s="3"/>
      <c r="T15" s="3"/>
      <c r="U15" s="3"/>
      <c r="V15" s="3"/>
      <c r="W15" s="3"/>
      <c r="X15" s="3"/>
      <c r="Y15" s="3"/>
      <c r="Z15" s="3"/>
    </row>
    <row r="16" ht="25.5" customHeight="1">
      <c r="A16" s="12"/>
      <c r="B16" s="3"/>
      <c r="C16" s="3"/>
      <c r="D16" s="3"/>
      <c r="E16" s="3"/>
      <c r="F16" s="3"/>
      <c r="G16" s="3"/>
      <c r="H16" s="3"/>
      <c r="I16" s="3"/>
      <c r="J16" s="3"/>
      <c r="K16" s="3"/>
      <c r="L16" s="3"/>
      <c r="M16" s="3"/>
      <c r="N16" s="3"/>
      <c r="O16" s="3"/>
      <c r="P16" s="3"/>
      <c r="Q16" s="3"/>
      <c r="R16" s="3"/>
      <c r="S16" s="3"/>
      <c r="T16" s="3"/>
      <c r="U16" s="3"/>
      <c r="V16" s="3"/>
      <c r="W16" s="3"/>
      <c r="X16" s="3"/>
      <c r="Y16" s="3"/>
      <c r="Z16" s="3"/>
    </row>
    <row r="17" ht="30.0" customHeight="1">
      <c r="A17" s="55" t="s">
        <v>61</v>
      </c>
      <c r="B17" s="3"/>
      <c r="C17" s="3"/>
      <c r="D17" s="3"/>
      <c r="E17" s="3"/>
      <c r="F17" s="3"/>
      <c r="G17" s="3"/>
      <c r="H17" s="3"/>
      <c r="I17" s="3"/>
      <c r="J17" s="3"/>
      <c r="K17" s="3"/>
      <c r="L17" s="3"/>
      <c r="M17" s="3"/>
      <c r="N17" s="3"/>
      <c r="O17" s="3"/>
      <c r="P17" s="3"/>
      <c r="Q17" s="3"/>
      <c r="R17" s="3"/>
      <c r="S17" s="3"/>
      <c r="T17" s="3"/>
      <c r="U17" s="3"/>
      <c r="V17" s="3"/>
      <c r="W17" s="3"/>
      <c r="X17" s="3"/>
      <c r="Y17" s="3"/>
      <c r="Z17" s="3"/>
    </row>
    <row r="18" ht="30.0" customHeight="1">
      <c r="A18" s="57"/>
      <c r="B18" s="37"/>
      <c r="C18" s="37"/>
      <c r="D18" s="37"/>
      <c r="E18" s="37"/>
      <c r="F18" s="37"/>
      <c r="G18" s="31"/>
      <c r="H18" s="3"/>
      <c r="I18" s="3"/>
      <c r="J18" s="3"/>
      <c r="K18" s="3"/>
      <c r="L18" s="3"/>
      <c r="M18" s="3"/>
      <c r="N18" s="3"/>
      <c r="O18" s="3"/>
      <c r="P18" s="3"/>
      <c r="Q18" s="3"/>
      <c r="R18" s="3"/>
      <c r="S18" s="3"/>
      <c r="T18" s="3"/>
      <c r="U18" s="3"/>
      <c r="V18" s="3"/>
      <c r="W18" s="3"/>
      <c r="X18" s="3"/>
      <c r="Y18" s="3"/>
      <c r="Z18" s="3"/>
    </row>
    <row r="19" ht="30.0" customHeight="1">
      <c r="A19" s="38"/>
      <c r="G19" s="39"/>
      <c r="H19" s="3"/>
      <c r="I19" s="3"/>
      <c r="J19" s="3"/>
      <c r="K19" s="3"/>
      <c r="L19" s="3"/>
      <c r="M19" s="3"/>
      <c r="N19" s="3"/>
      <c r="O19" s="3"/>
      <c r="P19" s="3"/>
      <c r="Q19" s="3"/>
      <c r="R19" s="3"/>
      <c r="S19" s="3"/>
      <c r="T19" s="3"/>
      <c r="U19" s="3"/>
      <c r="V19" s="3"/>
      <c r="W19" s="3"/>
      <c r="X19" s="3"/>
      <c r="Y19" s="3"/>
      <c r="Z19" s="3"/>
    </row>
    <row r="20" ht="38.25" customHeight="1">
      <c r="A20" s="38"/>
      <c r="G20" s="39"/>
      <c r="H20" s="3"/>
      <c r="I20" s="3"/>
      <c r="J20" s="3"/>
      <c r="K20" s="3"/>
      <c r="L20" s="3"/>
      <c r="M20" s="3"/>
      <c r="N20" s="3"/>
      <c r="O20" s="3"/>
      <c r="P20" s="3"/>
      <c r="Q20" s="3"/>
      <c r="R20" s="3"/>
      <c r="S20" s="3"/>
      <c r="T20" s="3"/>
      <c r="U20" s="3"/>
      <c r="V20" s="3"/>
      <c r="W20" s="3"/>
      <c r="X20" s="3"/>
      <c r="Y20" s="3"/>
      <c r="Z20" s="3"/>
    </row>
    <row r="21" ht="13.5" customHeight="1">
      <c r="A21" s="33"/>
      <c r="B21" s="40"/>
      <c r="C21" s="40"/>
      <c r="D21" s="40"/>
      <c r="E21" s="40"/>
      <c r="F21" s="40"/>
      <c r="G21" s="34"/>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G1"/>
    <mergeCell ref="A4:G4"/>
    <mergeCell ref="A18:G21"/>
  </mergeCells>
  <conditionalFormatting sqref="B6:B7">
    <cfRule type="containsBlanks" dxfId="1" priority="1">
      <formula>LEN(TRIM(B6))=0</formula>
    </cfRule>
  </conditionalFormatting>
  <conditionalFormatting sqref="A18:G21 B11:C15">
    <cfRule type="containsBlanks" dxfId="1" priority="2">
      <formula>LEN(TRIM(A18))=0</formula>
    </cfRule>
  </conditionalFormatting>
  <printOptions/>
  <pageMargins bottom="0.748031496062992" footer="0.0" header="0.0" left="0.708661417322835" right="0.708661417322835" top="0.748031496062992"/>
  <pageSetup paperSize="66" scale="40" orientation="landscape"/>
  <headerFooter>
    <oddHeader>&amp;L000000</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2024-09-12T07:09:10Z</dcterms:created>
  <dc:creator>Priscille PINEAU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0x010100E0C0B10ABF0F2744849D528A06CC3BC7</vt:lpwstr>
  </property>
  <property fmtid="{D5CDD505-2E9C-101B-9397-08002B2CF9AE}" pid="3" name="MediaServiceImageTags">
    <vt:lpwstr/>
  </property>
  <property fmtid="{D5CDD505-2E9C-101B-9397-08002B2CF9AE}" pid="4" name="Order">
    <vt:r8>2317300.0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